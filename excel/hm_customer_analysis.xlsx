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0" documentId="8_{330A9B89-E8C4-4F72-9317-F7239B87AB92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01 Executive Summary" sheetId="9" r:id="rId1"/>
    <sheet name="02 Customer Analysis" sheetId="2" r:id="rId2"/>
    <sheet name="03 Channel &amp; Product Analysis" sheetId="7" r:id="rId3"/>
    <sheet name="04 Excel Analysis" sheetId="8" r:id="rId4"/>
    <sheet name="Data_Customer" sheetId="4" r:id="rId5"/>
    <sheet name="Data_Channel" sheetId="5" r:id="rId6"/>
    <sheet name="Data_Product" sheetId="6" r:id="rId7"/>
  </sheets>
  <calcPr calcId="191028"/>
  <pivotCaches>
    <pivotCache cacheId="54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8" l="1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12" i="8"/>
  <c r="K6" i="8"/>
  <c r="K7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G28" i="8"/>
  <c r="G29" i="8"/>
  <c r="G30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12" i="8"/>
  <c r="H12" i="8"/>
  <c r="I12" i="8"/>
  <c r="J12" i="8"/>
  <c r="H6" i="8"/>
</calcChain>
</file>

<file path=xl/sharedStrings.xml><?xml version="1.0" encoding="utf-8"?>
<sst xmlns="http://schemas.openxmlformats.org/spreadsheetml/2006/main" count="215" uniqueCount="109">
  <si>
    <t>H&amp;M Customer &amp; Omnichannel Analytics</t>
  </si>
  <si>
    <t>Executive Summary | Sep 23,  2019 - Sep 22, 2020</t>
  </si>
  <si>
    <t>Purchasing Customers</t>
  </si>
  <si>
    <t>Repeat Customer Rate</t>
  </si>
  <si>
    <t>Omnichannel Customers</t>
  </si>
  <si>
    <t>Avg Purchase Days</t>
  </si>
  <si>
    <t>Key Findings</t>
  </si>
  <si>
    <r>
      <t xml:space="preserve">     Repeat purchasing was common, with </t>
    </r>
    <r>
      <rPr>
        <b/>
        <sz val="11"/>
        <color theme="1" tint="0.34998626667073579"/>
        <rFont val="Aptos"/>
      </rPr>
      <t>65.6%</t>
    </r>
    <r>
      <rPr>
        <sz val="11"/>
        <color theme="1" tint="0.34998626667073579"/>
        <rFont val="Aptos"/>
      </rPr>
      <t xml:space="preserve"> of customers purchasing on more than one distinct day.</t>
    </r>
  </si>
  <si>
    <r>
      <rPr>
        <sz val="11"/>
        <color rgb="FF595959"/>
        <rFont val="Aptos"/>
      </rPr>
      <t xml:space="preserve">     Omnichannel customers showed substantially higher engagement, averaging </t>
    </r>
    <r>
      <rPr>
        <b/>
        <sz val="11"/>
        <color rgb="FF595959"/>
        <rFont val="Aptos"/>
      </rPr>
      <t>8.10 purchase days</t>
    </r>
    <r>
      <rPr>
        <sz val="11"/>
        <color rgb="FF595959"/>
        <rFont val="Aptos"/>
      </rPr>
      <t>.</t>
    </r>
  </si>
  <si>
    <t xml:space="preserve">     Channel 2 had more monthly customers than Channel 1 throughout the observed period.</t>
  </si>
  <si>
    <t xml:space="preserve">     Higher-value customers had relatively larger shares of lower-body and full-body garment purchases.</t>
  </si>
  <si>
    <t>H&amp;M Customer Analysis</t>
  </si>
  <si>
    <t>Customer purchasing behavior |  Sep 23,  2019 - Sep 22, 2020</t>
  </si>
  <si>
    <t>Max Purchase Days</t>
  </si>
  <si>
    <r>
      <t xml:space="preserve">     65.6%</t>
    </r>
    <r>
      <rPr>
        <sz val="11"/>
        <color rgb="FF595959"/>
        <rFont val="Aptos"/>
      </rPr>
      <t xml:space="preserve"> of purchasing customers were repeat customers.</t>
    </r>
  </si>
  <si>
    <r>
      <t xml:space="preserve">     342,072</t>
    </r>
    <r>
      <rPr>
        <sz val="11"/>
        <color rgb="FF595959"/>
        <rFont val="Aptos"/>
      </rPr>
      <t xml:space="preserve"> customers purchased on only one day.</t>
    </r>
  </si>
  <si>
    <r>
      <t xml:space="preserve">     250,619</t>
    </r>
    <r>
      <rPr>
        <sz val="11"/>
        <color rgb="FF595959"/>
        <rFont val="Aptos"/>
      </rPr>
      <t xml:space="preserve"> purchased within 30 days, while </t>
    </r>
    <r>
      <rPr>
        <b/>
        <sz val="11"/>
        <color rgb="FF595959"/>
        <rFont val="Aptos"/>
      </rPr>
      <t>251,889</t>
    </r>
    <r>
      <rPr>
        <sz val="11"/>
        <color rgb="FF595959"/>
        <rFont val="Aptos"/>
      </rPr>
      <t xml:space="preserve"> had not purchased in 181+ days.</t>
    </r>
  </si>
  <si>
    <t>H&amp;M Channel &amp; Product Analysis</t>
  </si>
  <si>
    <t>Channel engagement &amp; product purchasing behavior |  Sep 23,  2019 - Sep 22, 2020</t>
  </si>
  <si>
    <t>Avg Normalized Customer Value</t>
  </si>
  <si>
    <t>Note: Sep 2019 and Sep 2020 are partial months. Channel IDs are retained as provided in the source data.</t>
  </si>
  <si>
    <t>Channel 2 had more monthly customers than Channel 1 throughout the observed period.</t>
  </si>
  <si>
    <r>
      <t>Channel 1 activity dropped to zero in April 2020</t>
    </r>
    <r>
      <rPr>
        <sz val="11"/>
        <color theme="1" tint="0.34998626667073579"/>
        <rFont val="Aptos"/>
      </rPr>
      <t xml:space="preserve">, while Channel 2 reached </t>
    </r>
    <r>
      <rPr>
        <b/>
        <sz val="11"/>
        <color theme="1" tint="0.34998626667073579"/>
        <rFont val="Aptos"/>
      </rPr>
      <t>228,713 customers</t>
    </r>
    <r>
      <rPr>
        <sz val="11"/>
        <color theme="1" tint="0.34998626667073579"/>
        <rFont val="Aptos"/>
      </rPr>
      <t>.</t>
    </r>
  </si>
  <si>
    <r>
      <t>Omnichannel customers averaged 8.10 purchase days</t>
    </r>
    <r>
      <rPr>
        <sz val="11"/>
        <color theme="1" tint="0.34998626667073579"/>
        <rFont val="Aptos"/>
      </rPr>
      <t xml:space="preserve"> and an average normalized customer value of </t>
    </r>
    <r>
      <rPr>
        <b/>
        <sz val="11"/>
        <color theme="1" tint="0.34998626667073579"/>
        <rFont val="Aptos"/>
      </rPr>
      <t>0.749</t>
    </r>
    <r>
      <rPr>
        <sz val="11"/>
        <color theme="1" tint="0.34998626667073579"/>
        <rFont val="Aptos"/>
      </rPr>
      <t>.</t>
    </r>
  </si>
  <si>
    <r>
      <t>Garment Upper Body was the largest product group</t>
    </r>
    <r>
      <rPr>
        <sz val="11"/>
        <color theme="1" tint="0.34998626667073579"/>
        <rFont val="Aptos"/>
      </rPr>
      <t xml:space="preserve">, with </t>
    </r>
    <r>
      <rPr>
        <b/>
        <sz val="11"/>
        <color theme="1" tint="0.34998626667073579"/>
        <rFont val="Aptos"/>
      </rPr>
      <t>5,754,235 purchases</t>
    </r>
    <r>
      <rPr>
        <sz val="11"/>
        <color theme="1" tint="0.34998626667073579"/>
        <rFont val="Aptos"/>
      </rPr>
      <t>, followed by Garment Lower Body.</t>
    </r>
  </si>
  <si>
    <t>H&amp;M Excel Analysis</t>
  </si>
  <si>
    <t>Ad hoc analysis using PivotTables, lookups, formulas, and conditional formatting</t>
  </si>
  <si>
    <t>Pivot Table</t>
  </si>
  <si>
    <t>Product Lookup</t>
  </si>
  <si>
    <t>Quartile Summary</t>
  </si>
  <si>
    <t>Purchase Share %</t>
  </si>
  <si>
    <t>Value Quartile</t>
  </si>
  <si>
    <t>Product Group:</t>
  </si>
  <si>
    <t>Bags</t>
  </si>
  <si>
    <t>Value Quartile:</t>
  </si>
  <si>
    <t>Product Group</t>
  </si>
  <si>
    <t>Purchase Count:</t>
  </si>
  <si>
    <t>Total Purchases:</t>
  </si>
  <si>
    <t>Accessories</t>
  </si>
  <si>
    <t>Product Group ≥ 5% Share:</t>
  </si>
  <si>
    <t>Cosmetic</t>
  </si>
  <si>
    <t>Fun</t>
  </si>
  <si>
    <t>Q1 vs Q4 Product Mix Comparison</t>
  </si>
  <si>
    <t>Furniture</t>
  </si>
  <si>
    <t>Q1 Share</t>
  </si>
  <si>
    <t>Q4 Share</t>
  </si>
  <si>
    <t>Difference</t>
  </si>
  <si>
    <t>Flag</t>
  </si>
  <si>
    <t>Garment and Shoe care</t>
  </si>
  <si>
    <t>Garment Full body</t>
  </si>
  <si>
    <t>Garment Lower body</t>
  </si>
  <si>
    <t>Garment Upper body</t>
  </si>
  <si>
    <t>Interior textile</t>
  </si>
  <si>
    <t>Items</t>
  </si>
  <si>
    <t>Nightwear</t>
  </si>
  <si>
    <t>Shoes</t>
  </si>
  <si>
    <t>Socks &amp; Tights</t>
  </si>
  <si>
    <t>Stationery</t>
  </si>
  <si>
    <t>Swimwear</t>
  </si>
  <si>
    <t>Underwear</t>
  </si>
  <si>
    <t>Underwear/nightwear</t>
  </si>
  <si>
    <t>Unknown</t>
  </si>
  <si>
    <t>Grand Total</t>
  </si>
  <si>
    <t xml:space="preserve">Note: Q1 = lowest-value 25% of customers, Q4 = highest-value 25% of customers </t>
  </si>
  <si>
    <t>Purchase Frequency &amp; Repeat Behavior</t>
  </si>
  <si>
    <t>Minimum Purchase Days</t>
  </si>
  <si>
    <t>Maximum Purchase Days</t>
  </si>
  <si>
    <t>Average Purchase Days</t>
  </si>
  <si>
    <t>Frequency Group</t>
  </si>
  <si>
    <t>Customer Count</t>
  </si>
  <si>
    <t>1 Day</t>
  </si>
  <si>
    <t>2-3 Days</t>
  </si>
  <si>
    <t>4-6 Days</t>
  </si>
  <si>
    <t>7+ Days</t>
  </si>
  <si>
    <t xml:space="preserve">Customer Recency </t>
  </si>
  <si>
    <t>Recency Band</t>
  </si>
  <si>
    <t>0-30 days</t>
  </si>
  <si>
    <t>31-60 days</t>
  </si>
  <si>
    <t>61-90 days</t>
  </si>
  <si>
    <t>91-180 days</t>
  </si>
  <si>
    <t>181+ days</t>
  </si>
  <si>
    <t>Channel Segment Performance</t>
  </si>
  <si>
    <t>Channel Type</t>
  </si>
  <si>
    <t>Customers</t>
  </si>
  <si>
    <t>Repeat Rate</t>
  </si>
  <si>
    <t>Channel 1 Only</t>
  </si>
  <si>
    <t>Channel 2 Only</t>
  </si>
  <si>
    <t>Omnichannel</t>
  </si>
  <si>
    <t>Monthly Channel Usage</t>
  </si>
  <si>
    <t>Month</t>
  </si>
  <si>
    <t>Channel 1 Customers</t>
  </si>
  <si>
    <t xml:space="preserve">Channel 2 Customers 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</si>
  <si>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</si>
  <si>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</si>
  <si>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</si>
  <si>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</si>
  <si>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</si>
  <si>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</si>
  <si>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</si>
  <si>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</si>
  <si>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</si>
  <si>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</si>
  <si>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</si>
  <si>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</si>
  <si>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</si>
  <si>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Product Group Purchase Volume</t>
  </si>
  <si>
    <t>Purchase Count</t>
  </si>
  <si>
    <t>Product Mix by Customer Value Quartile</t>
  </si>
  <si>
    <t>Purchase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</si>
</sst>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0.000"/>
    <numFmt numFmtId="166" formatCode="mmm\ yyyy"/>
    <numFmt numFmtId="167" formatCode="0.0%"/>
    <numFmt numFmtId="168" formatCode="0.00000%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4"/>
      <color theme="0"/>
      <name val="Aptos"/>
    </font>
    <font>
      <sz val="11"/>
      <color theme="1"/>
      <name val="Aptos"/>
    </font>
    <font>
      <b/>
      <sz val="11"/>
      <color theme="1"/>
      <name val="Aptos"/>
    </font>
    <font>
      <b/>
      <sz val="22"/>
      <color rgb="FFC00000"/>
      <name val="Aptos"/>
    </font>
    <font>
      <sz val="11"/>
      <color theme="1" tint="0.499984740745262"/>
      <name val="Aptos"/>
    </font>
    <font>
      <b/>
      <sz val="11"/>
      <color theme="0"/>
      <name val="Aptos"/>
    </font>
    <font>
      <sz val="24"/>
      <color theme="1" tint="0.34998626667073579"/>
      <name val="Aptos"/>
    </font>
    <font>
      <b/>
      <sz val="14"/>
      <color theme="0"/>
      <name val="Aptos"/>
    </font>
    <font>
      <b/>
      <sz val="11"/>
      <color theme="1" tint="0.34998626667073579"/>
      <name val="Aptos"/>
    </font>
    <font>
      <b/>
      <sz val="11"/>
      <color rgb="FF595959"/>
      <name val="Calibri"/>
    </font>
    <font>
      <b/>
      <sz val="24"/>
      <color theme="1" tint="0.34998626667073579"/>
      <name val="Aptos"/>
    </font>
    <font>
      <b/>
      <sz val="11"/>
      <color rgb="FF595959"/>
      <name val="Aptos"/>
    </font>
    <font>
      <b/>
      <sz val="24"/>
      <color rgb="FFC00000"/>
      <name val="Aptos"/>
    </font>
    <font>
      <sz val="11"/>
      <color theme="1" tint="0.34998626667073579"/>
      <name val="Calibri"/>
      <family val="2"/>
      <scheme val="minor"/>
    </font>
    <font>
      <sz val="11"/>
      <color theme="1" tint="0.34998626667073579"/>
      <name val="Aptos"/>
    </font>
    <font>
      <sz val="11"/>
      <color theme="0"/>
      <name val="Aptos"/>
    </font>
    <font>
      <b/>
      <sz val="14"/>
      <color theme="1" tint="0.34998626667073579"/>
      <name val="Aptos"/>
    </font>
    <font>
      <sz val="9"/>
      <color rgb="FF808080"/>
      <name val="Aptos"/>
    </font>
    <font>
      <b/>
      <sz val="11"/>
      <color theme="0"/>
      <name val="Calibri"/>
      <family val="2"/>
      <scheme val="minor"/>
    </font>
    <font>
      <sz val="11"/>
      <color theme="2" tint="-0.749992370372631"/>
      <name val="Aptos"/>
    </font>
    <font>
      <sz val="11"/>
      <color theme="2" tint="-0.749992370372631"/>
      <name val="Calibri"/>
      <family val="2"/>
      <scheme val="minor"/>
    </font>
    <font>
      <sz val="11"/>
      <color theme="1" tint="0.249977111117893"/>
      <name val="Aptos"/>
    </font>
    <font>
      <sz val="11"/>
      <color rgb="FF595959"/>
      <name val="Aptos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/>
      <right/>
      <top/>
      <bottom style="thin">
        <color theme="1" tint="0.34998626667073579"/>
      </bottom>
      <diagonal/>
    </border>
    <border>
      <left style="thin">
        <color rgb="FFD9D9D9"/>
      </left>
      <right/>
      <top style="thin">
        <color theme="0" tint="-0.249977111117893"/>
      </top>
      <bottom style="thin">
        <color rgb="FFD9D9D9"/>
      </bottom>
      <diagonal/>
    </border>
    <border>
      <left/>
      <right style="thin">
        <color rgb="FFD9D9D9"/>
      </right>
      <top style="thin">
        <color theme="0" tint="-0.249977111117893"/>
      </top>
      <bottom style="thin">
        <color rgb="FFD9D9D9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120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10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0" fillId="0" borderId="0" xfId="0" applyBorder="1"/>
    <xf numFmtId="0" fontId="6" fillId="0" borderId="0" xfId="0" applyFont="1"/>
    <xf numFmtId="0" fontId="6" fillId="0" borderId="0" xfId="0" applyFont="1" applyAlignment="1"/>
    <xf numFmtId="0" fontId="7" fillId="0" borderId="0" xfId="0" applyFont="1" applyBorder="1" applyAlignment="1">
      <alignment horizontal="center"/>
    </xf>
    <xf numFmtId="0" fontId="5" fillId="3" borderId="0" xfId="0" applyFont="1" applyFill="1" applyBorder="1" applyAlignme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3" fillId="4" borderId="0" xfId="0" applyFont="1" applyFill="1" applyBorder="1" applyAlignment="1">
      <alignment horizontal="left" vertical="center"/>
    </xf>
    <xf numFmtId="0" fontId="13" fillId="4" borderId="9" xfId="0" applyFont="1" applyFill="1" applyBorder="1" applyAlignment="1">
      <alignment horizontal="left" vertical="center"/>
    </xf>
    <xf numFmtId="0" fontId="6" fillId="0" borderId="5" xfId="0" applyFont="1" applyBorder="1"/>
    <xf numFmtId="0" fontId="6" fillId="0" borderId="10" xfId="0" applyFont="1" applyBorder="1"/>
    <xf numFmtId="0" fontId="6" fillId="0" borderId="6" xfId="0" applyFont="1" applyBorder="1"/>
    <xf numFmtId="0" fontId="12" fillId="2" borderId="3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3" fontId="15" fillId="4" borderId="13" xfId="0" applyNumberFormat="1" applyFont="1" applyFill="1" applyBorder="1" applyAlignment="1">
      <alignment horizontal="center" vertical="center"/>
    </xf>
    <xf numFmtId="0" fontId="15" fillId="4" borderId="14" xfId="0" applyNumberFormat="1" applyFont="1" applyFill="1" applyBorder="1" applyAlignment="1">
      <alignment horizontal="center" vertical="center"/>
    </xf>
    <xf numFmtId="2" fontId="15" fillId="4" borderId="13" xfId="0" applyNumberFormat="1" applyFont="1" applyFill="1" applyBorder="1" applyAlignment="1">
      <alignment horizontal="center" vertical="center"/>
    </xf>
    <xf numFmtId="2" fontId="15" fillId="4" borderId="14" xfId="0" applyNumberFormat="1" applyFont="1" applyFill="1" applyBorder="1" applyAlignment="1">
      <alignment horizontal="center" vertical="center"/>
    </xf>
    <xf numFmtId="0" fontId="15" fillId="5" borderId="13" xfId="0" applyNumberFormat="1" applyFont="1" applyFill="1" applyBorder="1" applyAlignment="1">
      <alignment horizontal="center" vertical="center"/>
    </xf>
    <xf numFmtId="0" fontId="15" fillId="5" borderId="14" xfId="0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167" fontId="11" fillId="5" borderId="13" xfId="0" applyNumberFormat="1" applyFont="1" applyFill="1" applyBorder="1" applyAlignment="1">
      <alignment horizontal="center" vertical="center"/>
    </xf>
    <xf numFmtId="167" fontId="11" fillId="5" borderId="14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2" fontId="11" fillId="4" borderId="13" xfId="0" applyNumberFormat="1" applyFont="1" applyFill="1" applyBorder="1" applyAlignment="1">
      <alignment horizontal="center" vertical="center"/>
    </xf>
    <xf numFmtId="2" fontId="11" fillId="4" borderId="14" xfId="0" applyNumberFormat="1" applyFont="1" applyFill="1" applyBorder="1" applyAlignment="1">
      <alignment horizontal="center" vertical="center"/>
    </xf>
    <xf numFmtId="0" fontId="17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10" fillId="2" borderId="19" xfId="0" applyFont="1" applyFill="1" applyBorder="1"/>
    <xf numFmtId="0" fontId="9" fillId="6" borderId="20" xfId="0" applyFont="1" applyFill="1" applyBorder="1"/>
    <xf numFmtId="0" fontId="10" fillId="2" borderId="21" xfId="0" applyFont="1" applyFill="1" applyBorder="1"/>
    <xf numFmtId="164" fontId="9" fillId="7" borderId="22" xfId="0" applyNumberFormat="1" applyFont="1" applyFill="1" applyBorder="1"/>
    <xf numFmtId="0" fontId="10" fillId="2" borderId="23" xfId="0" applyFont="1" applyFill="1" applyBorder="1"/>
    <xf numFmtId="0" fontId="9" fillId="7" borderId="24" xfId="0" applyFont="1" applyFill="1" applyBorder="1"/>
    <xf numFmtId="0" fontId="19" fillId="6" borderId="20" xfId="0" quotePrefix="1" applyFont="1" applyFill="1" applyBorder="1" applyAlignment="1">
      <alignment horizontal="left" vertical="center"/>
    </xf>
    <xf numFmtId="164" fontId="19" fillId="7" borderId="24" xfId="0" applyNumberFormat="1" applyFont="1" applyFill="1" applyBorder="1" applyAlignment="1">
      <alignment horizontal="right" vertical="center"/>
    </xf>
    <xf numFmtId="0" fontId="20" fillId="2" borderId="19" xfId="0" applyFont="1" applyFill="1" applyBorder="1"/>
    <xf numFmtId="0" fontId="20" fillId="2" borderId="25" xfId="0" applyFont="1" applyFill="1" applyBorder="1"/>
    <xf numFmtId="0" fontId="20" fillId="2" borderId="20" xfId="0" applyFont="1" applyFill="1" applyBorder="1"/>
    <xf numFmtId="0" fontId="20" fillId="2" borderId="21" xfId="0" applyFont="1" applyFill="1" applyBorder="1"/>
    <xf numFmtId="0" fontId="20" fillId="2" borderId="0" xfId="0" applyFont="1" applyFill="1" applyBorder="1"/>
    <xf numFmtId="0" fontId="20" fillId="2" borderId="22" xfId="0" applyFont="1" applyFill="1" applyBorder="1"/>
    <xf numFmtId="0" fontId="19" fillId="4" borderId="23" xfId="0" applyFont="1" applyFill="1" applyBorder="1"/>
    <xf numFmtId="10" fontId="19" fillId="4" borderId="26" xfId="0" applyNumberFormat="1" applyFont="1" applyFill="1" applyBorder="1"/>
    <xf numFmtId="10" fontId="19" fillId="4" borderId="24" xfId="0" applyNumberFormat="1" applyFont="1" applyFill="1" applyBorder="1"/>
    <xf numFmtId="0" fontId="6" fillId="0" borderId="0" xfId="0" applyFont="1" applyBorder="1"/>
    <xf numFmtId="0" fontId="10" fillId="2" borderId="25" xfId="0" applyFont="1" applyFill="1" applyBorder="1"/>
    <xf numFmtId="0" fontId="23" fillId="2" borderId="25" xfId="0" applyFont="1" applyFill="1" applyBorder="1"/>
    <xf numFmtId="0" fontId="23" fillId="2" borderId="20" xfId="0" applyFont="1" applyFill="1" applyBorder="1"/>
    <xf numFmtId="0" fontId="24" fillId="0" borderId="21" xfId="0" applyFont="1" applyBorder="1"/>
    <xf numFmtId="10" fontId="24" fillId="0" borderId="0" xfId="0" applyNumberFormat="1" applyFont="1" applyBorder="1"/>
    <xf numFmtId="10" fontId="25" fillId="0" borderId="0" xfId="0" applyNumberFormat="1" applyFont="1" applyBorder="1"/>
    <xf numFmtId="0" fontId="25" fillId="0" borderId="22" xfId="0" applyFont="1" applyBorder="1"/>
    <xf numFmtId="0" fontId="24" fillId="0" borderId="23" xfId="0" applyFont="1" applyBorder="1"/>
    <xf numFmtId="10" fontId="24" fillId="0" borderId="26" xfId="0" applyNumberFormat="1" applyFont="1" applyBorder="1"/>
    <xf numFmtId="10" fontId="25" fillId="0" borderId="26" xfId="0" applyNumberFormat="1" applyFont="1" applyBorder="1"/>
    <xf numFmtId="0" fontId="12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vertical="center"/>
    </xf>
    <xf numFmtId="0" fontId="11" fillId="4" borderId="28" xfId="0" applyNumberFormat="1" applyFont="1" applyFill="1" applyBorder="1" applyAlignment="1">
      <alignment horizontal="center" vertical="center"/>
    </xf>
    <xf numFmtId="3" fontId="11" fillId="4" borderId="27" xfId="0" applyNumberFormat="1" applyFont="1" applyFill="1" applyBorder="1" applyAlignment="1">
      <alignment horizontal="center" vertical="center"/>
    </xf>
    <xf numFmtId="167" fontId="11" fillId="4" borderId="13" xfId="0" applyNumberFormat="1" applyFont="1" applyFill="1" applyBorder="1" applyAlignment="1">
      <alignment horizontal="center" vertical="center"/>
    </xf>
    <xf numFmtId="167" fontId="11" fillId="4" borderId="14" xfId="0" applyNumberFormat="1" applyFont="1" applyFill="1" applyBorder="1" applyAlignment="1">
      <alignment horizontal="center" vertical="center"/>
    </xf>
    <xf numFmtId="0" fontId="11" fillId="5" borderId="14" xfId="0" applyNumberFormat="1" applyFont="1" applyFill="1" applyBorder="1" applyAlignment="1">
      <alignment horizontal="center" vertical="center"/>
    </xf>
    <xf numFmtId="3" fontId="11" fillId="5" borderId="13" xfId="0" applyNumberFormat="1" applyFont="1" applyFill="1" applyBorder="1" applyAlignment="1">
      <alignment horizontal="center" vertical="center"/>
    </xf>
    <xf numFmtId="2" fontId="11" fillId="5" borderId="13" xfId="0" applyNumberFormat="1" applyFont="1" applyFill="1" applyBorder="1" applyAlignment="1">
      <alignment horizontal="center" vertical="center"/>
    </xf>
    <xf numFmtId="2" fontId="11" fillId="5" borderId="14" xfId="0" applyNumberFormat="1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left" vertical="center"/>
    </xf>
    <xf numFmtId="0" fontId="18" fillId="4" borderId="0" xfId="0" applyFont="1" applyFill="1" applyBorder="1" applyAlignment="1">
      <alignment horizontal="left" vertical="center"/>
    </xf>
    <xf numFmtId="0" fontId="27" fillId="4" borderId="0" xfId="0" applyFont="1" applyFill="1" applyBorder="1" applyAlignment="1">
      <alignment horizontal="left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9" fillId="4" borderId="32" xfId="0" applyFont="1" applyFill="1" applyBorder="1" applyAlignment="1">
      <alignment horizontal="left" vertical="center"/>
    </xf>
    <xf numFmtId="0" fontId="19" fillId="4" borderId="33" xfId="0" applyFont="1" applyFill="1" applyBorder="1" applyAlignment="1">
      <alignment horizontal="left" vertical="center"/>
    </xf>
    <xf numFmtId="0" fontId="27" fillId="4" borderId="32" xfId="0" applyFont="1" applyFill="1" applyBorder="1" applyAlignment="1">
      <alignment horizontal="left" vertical="center"/>
    </xf>
    <xf numFmtId="0" fontId="27" fillId="4" borderId="33" xfId="0" applyFont="1" applyFill="1" applyBorder="1" applyAlignment="1">
      <alignment horizontal="left" vertical="center"/>
    </xf>
    <xf numFmtId="0" fontId="18" fillId="4" borderId="32" xfId="0" applyFont="1" applyFill="1" applyBorder="1" applyAlignment="1">
      <alignment horizontal="left" vertical="center"/>
    </xf>
    <xf numFmtId="0" fontId="18" fillId="4" borderId="33" xfId="0" applyFont="1" applyFill="1" applyBorder="1" applyAlignment="1">
      <alignment horizontal="left" vertical="center"/>
    </xf>
    <xf numFmtId="0" fontId="18" fillId="4" borderId="34" xfId="0" applyFont="1" applyFill="1" applyBorder="1" applyAlignment="1">
      <alignment horizontal="left" vertical="center"/>
    </xf>
    <xf numFmtId="0" fontId="18" fillId="4" borderId="35" xfId="0" applyFont="1" applyFill="1" applyBorder="1" applyAlignment="1">
      <alignment horizontal="left" vertical="center"/>
    </xf>
    <xf numFmtId="0" fontId="18" fillId="4" borderId="36" xfId="0" applyFont="1" applyFill="1" applyBorder="1" applyAlignment="1">
      <alignment horizontal="left" vertical="center"/>
    </xf>
    <xf numFmtId="0" fontId="13" fillId="4" borderId="8" xfId="0" applyFont="1" applyFill="1" applyBorder="1" applyAlignment="1">
      <alignment horizontal="left" vertical="center"/>
    </xf>
    <xf numFmtId="0" fontId="13" fillId="4" borderId="0" xfId="0" applyFont="1" applyFill="1" applyBorder="1" applyAlignment="1">
      <alignment horizontal="left" vertical="center"/>
    </xf>
    <xf numFmtId="0" fontId="13" fillId="4" borderId="9" xfId="0" applyFont="1" applyFill="1" applyBorder="1" applyAlignment="1">
      <alignment horizontal="left" vertical="center"/>
    </xf>
    <xf numFmtId="0" fontId="13" fillId="4" borderId="8" xfId="0" applyFont="1" applyFill="1" applyBorder="1" applyAlignment="1">
      <alignment horizontal="left" vertical="center"/>
    </xf>
    <xf numFmtId="0" fontId="13" fillId="4" borderId="5" xfId="0" applyFont="1" applyFill="1" applyBorder="1" applyAlignment="1">
      <alignment horizontal="left" vertical="center"/>
    </xf>
    <xf numFmtId="0" fontId="19" fillId="4" borderId="10" xfId="0" applyFont="1" applyFill="1" applyBorder="1" applyAlignment="1">
      <alignment horizontal="left" vertical="center"/>
    </xf>
    <xf numFmtId="0" fontId="19" fillId="4" borderId="6" xfId="0" applyFont="1" applyFill="1" applyBorder="1" applyAlignment="1">
      <alignment horizontal="left" vertical="center"/>
    </xf>
    <xf numFmtId="0" fontId="26" fillId="0" borderId="21" xfId="0" applyFont="1" applyBorder="1"/>
    <xf numFmtId="10" fontId="26" fillId="0" borderId="0" xfId="0" applyNumberFormat="1" applyFont="1" applyBorder="1"/>
    <xf numFmtId="10" fontId="26" fillId="0" borderId="22" xfId="0" applyNumberFormat="1" applyFont="1" applyBorder="1"/>
    <xf numFmtId="0" fontId="16" fillId="5" borderId="16" xfId="0" applyFont="1" applyFill="1" applyBorder="1" applyAlignment="1">
      <alignment horizontal="left" vertical="center"/>
    </xf>
    <xf numFmtId="0" fontId="16" fillId="5" borderId="0" xfId="0" applyFont="1" applyFill="1" applyBorder="1" applyAlignment="1">
      <alignment horizontal="left" vertical="center"/>
    </xf>
    <xf numFmtId="0" fontId="16" fillId="5" borderId="17" xfId="0" applyFont="1" applyFill="1" applyBorder="1" applyAlignment="1">
      <alignment horizontal="left" vertical="center"/>
    </xf>
    <xf numFmtId="0" fontId="13" fillId="5" borderId="0" xfId="0" applyFont="1" applyFill="1" applyBorder="1" applyAlignment="1">
      <alignment horizontal="left" vertical="center"/>
    </xf>
    <xf numFmtId="0" fontId="13" fillId="5" borderId="17" xfId="0" applyFont="1" applyFill="1" applyBorder="1" applyAlignment="1">
      <alignment horizontal="left" vertical="center"/>
    </xf>
    <xf numFmtId="0" fontId="16" fillId="5" borderId="13" xfId="0" applyFont="1" applyFill="1" applyBorder="1" applyAlignment="1">
      <alignment horizontal="left" vertical="center"/>
    </xf>
    <xf numFmtId="0" fontId="16" fillId="5" borderId="18" xfId="0" applyFont="1" applyFill="1" applyBorder="1" applyAlignment="1">
      <alignment horizontal="left" vertical="center"/>
    </xf>
    <xf numFmtId="0" fontId="16" fillId="5" borderId="14" xfId="0" applyFont="1" applyFill="1" applyBorder="1" applyAlignment="1">
      <alignment horizontal="left" vertical="center"/>
    </xf>
  </cellXfs>
  <cellStyles count="1">
    <cellStyle name="Normal" xfId="0" builtinId="0"/>
  </cellStyles>
  <dxfs count="52"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4" formatCode="0.00%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</font>
    </dxf>
    <dxf>
      <font>
        <b val="0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color theme="1" tint="0.34998626667073579"/>
      </font>
    </dxf>
    <dxf>
      <font>
        <color theme="1" tint="0.34998626667073579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77111117893"/>
      </font>
    </dxf>
    <dxf>
      <font>
        <color theme="1" tint="0.249977111117893"/>
      </font>
    </dxf>
  </dxfs>
  <tableStyles count="0" defaultTableStyle="TableStyleMedium2" defaultPivotStyle="PivotStyleMedium9"/>
  <colors>
    <mruColors>
      <color rgb="FFD9D9D9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r>
              <a:rPr lang="en-US"/>
              <a:t>Customer Channel 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Data_Channel!$B$3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Data_Channel!$A$4:$A$6</c:f>
              <c:strCache>
                <c:ptCount val="3"/>
                <c:pt idx="0">
                  <c:v>Channel 1 Only</c:v>
                </c:pt>
                <c:pt idx="1">
                  <c:v>Channel 2 Only</c:v>
                </c:pt>
                <c:pt idx="2">
                  <c:v>Omnichannel</c:v>
                </c:pt>
              </c:strCache>
            </c:strRef>
          </c:cat>
          <c:val>
            <c:numRef>
              <c:f>Data_Channel!$B$4:$B$6</c:f>
              <c:numCache>
                <c:formatCode>_(* #,##0_);_(* \(#,##0\);_(* "-"??_);_(@_)</c:formatCode>
                <c:ptCount val="3"/>
                <c:pt idx="0">
                  <c:v>187602</c:v>
                </c:pt>
                <c:pt idx="1">
                  <c:v>483344</c:v>
                </c:pt>
                <c:pt idx="2">
                  <c:v>323374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0-4DC3-B584-559734C67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0711432"/>
        <c:axId val="740721160"/>
      </c:barChart>
      <c:catAx>
        <c:axId val="740711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740721160"/>
        <c:crosses val="autoZero"/>
        <c:auto val="1"/>
        <c:lblAlgn val="ctr"/>
        <c:lblOffset val="100"/>
        <c:noMultiLvlLbl val="0"/>
      </c:catAx>
      <c:valAx>
        <c:axId val="740721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740711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Top 5 Product Groups by Purchase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Data_Product!$A$4:$A$8</c:f>
              <c:strCache>
                <c:ptCount val="5"/>
                <c:pt idx="0">
                  <c:v>Garment Upper body</c:v>
                </c:pt>
                <c:pt idx="1">
                  <c:v>Garment Lower body</c:v>
                </c:pt>
                <c:pt idx="2">
                  <c:v>Garment Full body</c:v>
                </c:pt>
                <c:pt idx="3">
                  <c:v>Underwear</c:v>
                </c:pt>
                <c:pt idx="4">
                  <c:v>Swimwear</c:v>
                </c:pt>
              </c:strCache>
            </c:strRef>
          </c:cat>
          <c:val>
            <c:numRef>
              <c:f>Data_Product!$B$4:$B$8</c:f>
              <c:numCache>
                <c:formatCode>_(* #,##0_);_(* \(#,##0\);_(* "-"??_);_(@_)</c:formatCode>
                <c:ptCount val="5"/>
                <c:pt idx="0">
                  <c:v>5754235</c:v>
                </c:pt>
                <c:pt idx="1">
                  <c:v>3252953</c:v>
                </c:pt>
                <c:pt idx="2">
                  <c:v>1763519</c:v>
                </c:pt>
                <c:pt idx="3">
                  <c:v>1305333</c:v>
                </c:pt>
                <c:pt idx="4">
                  <c:v>1144451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C-4CEF-90A3-6434A74C3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9924616"/>
        <c:axId val="1206964232"/>
      </c:barChart>
      <c:catAx>
        <c:axId val="9299246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206964232"/>
        <c:crosses val="autoZero"/>
        <c:auto val="1"/>
        <c:lblAlgn val="ctr"/>
        <c:lblOffset val="100"/>
        <c:noMultiLvlLbl val="0"/>
      </c:catAx>
      <c:valAx>
        <c:axId val="1206964232"/>
        <c:scaling>
          <c:orientation val="minMax"/>
          <c:max val="6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92992461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95959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Customers by Purchase Frequency</a:t>
            </a:r>
          </a:p>
        </c:rich>
      </c:tx>
      <c:layout>
        <c:manualLayout>
          <c:xMode val="edge"/>
          <c:yMode val="edge"/>
          <c:x val="0.21081130578758794"/>
          <c:y val="2.6402640264026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95959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Data_Customer!$B$7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Data_Customer!$A$8:$A$11</c:f>
              <c:strCache>
                <c:ptCount val="4"/>
                <c:pt idx="0">
                  <c:v>1 Day</c:v>
                </c:pt>
                <c:pt idx="1">
                  <c:v>2-3 Days</c:v>
                </c:pt>
                <c:pt idx="2">
                  <c:v>4-6 Days</c:v>
                </c:pt>
                <c:pt idx="3">
                  <c:v>7+ Days</c:v>
                </c:pt>
              </c:strCache>
            </c:strRef>
          </c:cat>
          <c:val>
            <c:numRef>
              <c:f>Data_Customer!$B$8:$B$11</c:f>
              <c:numCache>
                <c:formatCode>_(* #,##0_);_(* \(#,##0\);_(* "-"??_);_(@_)</c:formatCode>
                <c:ptCount val="4"/>
                <c:pt idx="0">
                  <c:v>342072</c:v>
                </c:pt>
                <c:pt idx="1">
                  <c:v>267753</c:v>
                </c:pt>
                <c:pt idx="2">
                  <c:v>182987</c:v>
                </c:pt>
                <c:pt idx="3">
                  <c:v>201508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3-41FB-BFC3-90AD9D4F6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6409735"/>
        <c:axId val="48365064"/>
      </c:barChart>
      <c:catAx>
        <c:axId val="20464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48365064"/>
        <c:crosses val="autoZero"/>
        <c:auto val="1"/>
        <c:lblAlgn val="ctr"/>
        <c:lblOffset val="100"/>
        <c:noMultiLvlLbl val="0"/>
      </c:catAx>
      <c:valAx>
        <c:axId val="48365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2046409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95959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Customers by Recency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95959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Data_Customer!$B$16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Data_Customer!$A$17:$A$21</c:f>
              <c:strCache>
                <c:ptCount val="5"/>
                <c:pt idx="0">
                  <c:v>0-30 days</c:v>
                </c:pt>
                <c:pt idx="1">
                  <c:v>31-60 days</c:v>
                </c:pt>
                <c:pt idx="2">
                  <c:v>61-90 days</c:v>
                </c:pt>
                <c:pt idx="3">
                  <c:v>91-180 days</c:v>
                </c:pt>
                <c:pt idx="4">
                  <c:v>181+ days</c:v>
                </c:pt>
              </c:strCache>
            </c:strRef>
          </c:cat>
          <c:val>
            <c:numRef>
              <c:f>Data_Customer!$B$17:$B$21</c:f>
              <c:numCache>
                <c:formatCode>_(* #,##0_);_(* \(#,##0\);_(* "-"??_);_(@_)</c:formatCode>
                <c:ptCount val="5"/>
                <c:pt idx="0">
                  <c:v>250619</c:v>
                </c:pt>
                <c:pt idx="1">
                  <c:v>149839</c:v>
                </c:pt>
                <c:pt idx="2">
                  <c:v>124617</c:v>
                </c:pt>
                <c:pt idx="3">
                  <c:v>217356</c:v>
                </c:pt>
                <c:pt idx="4">
                  <c:v>251889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8-467D-A956-C3D790C8C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1267079"/>
        <c:axId val="2046379527"/>
      </c:barChart>
      <c:catAx>
        <c:axId val="2011267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2046379527"/>
        <c:crosses val="autoZero"/>
        <c:auto val="1"/>
        <c:lblAlgn val="ctr"/>
        <c:lblOffset val="100"/>
        <c:noMultiLvlLbl val="0"/>
      </c:catAx>
      <c:valAx>
        <c:axId val="2046379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2011267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95959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Monthly Customers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95959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Data_Channel!$B$11</c:f>
              <c:strCache>
                <c:ptCount val="1"/>
                <c:pt idx="0">
                  <c:v>Channel 1 Customers</c:v>
                </c:pt>
              </c:strCache>
            </c:strRef>
          </c:tx>
          <c:spPr>
            <a:ln w="28575" cap="rnd">
              <a:solidFill>
                <a:srgbClr val="40404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04040"/>
              </a:solidFill>
              <a:ln w="9525">
                <a:solidFill>
                  <a:srgbClr val="404040"/>
                </a:solidFill>
                <a:prstDash val="solid"/>
              </a:ln>
              <a:effectLst/>
            </c:spPr>
          </c:marker>
          <c:cat>
            <c:strRef>
              <c:f>Data_Channel!$A$12:$A$24</c:f>
              <c:strCache>
                <c:ptCount val="13"/>
                <c:pt idx="0">
                  <c:v>Sep 2019</c:v>
                </c:pt>
                <c:pt idx="1">
                  <c:v>Oct 2019</c:v>
                </c:pt>
                <c:pt idx="2">
                  <c:v>Nov 2019</c:v>
                </c:pt>
                <c:pt idx="3">
                  <c:v>Dec 2019</c:v>
                </c:pt>
                <c:pt idx="4">
                  <c:v>Jan 2020</c:v>
                </c:pt>
                <c:pt idx="5">
                  <c:v>Feb 2020</c:v>
                </c:pt>
                <c:pt idx="6">
                  <c:v>Mar 2020</c:v>
                </c:pt>
                <c:pt idx="7">
                  <c:v>Apr 2020</c:v>
                </c:pt>
                <c:pt idx="8">
                  <c:v>May 2020</c:v>
                </c:pt>
                <c:pt idx="9">
                  <c:v>Jun 2020</c:v>
                </c:pt>
                <c:pt idx="10">
                  <c:v>Jul 2020</c:v>
                </c:pt>
                <c:pt idx="11">
                  <c:v>Aug 2020</c:v>
                </c:pt>
                <c:pt idx="12">
                  <c:v>Sep 2020</c:v>
                </c:pt>
              </c:strCache>
            </c:strRef>
          </c:cat>
          <c:val>
            <c:numRef>
              <c:f>Data_Channel!$B$12:$B$24</c:f>
              <c:numCache>
                <c:formatCode>_(* #,##0_);_(* \(#,##0\);_(* "-"??_);_(@_)</c:formatCode>
                <c:ptCount val="13"/>
                <c:pt idx="0">
                  <c:v>40774</c:v>
                </c:pt>
                <c:pt idx="1">
                  <c:v>125598</c:v>
                </c:pt>
                <c:pt idx="2">
                  <c:v>121696</c:v>
                </c:pt>
                <c:pt idx="3">
                  <c:v>140287</c:v>
                </c:pt>
                <c:pt idx="4">
                  <c:v>107764</c:v>
                </c:pt>
                <c:pt idx="5">
                  <c:v>112037</c:v>
                </c:pt>
                <c:pt idx="6">
                  <c:v>58875</c:v>
                </c:pt>
                <c:pt idx="7">
                  <c:v>0</c:v>
                </c:pt>
                <c:pt idx="8">
                  <c:v>91778</c:v>
                </c:pt>
                <c:pt idx="9">
                  <c:v>140577</c:v>
                </c:pt>
                <c:pt idx="10">
                  <c:v>145757</c:v>
                </c:pt>
                <c:pt idx="11">
                  <c:v>126650</c:v>
                </c:pt>
                <c:pt idx="12">
                  <c:v>87920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8-468A-B33A-4EBE36F26879}"/>
            </c:ext>
          </c:extLst>
        </c:ser>
        <c:ser>
          <c:idx val="1"/>
          <c:order val="1"/>
          <c:tx>
            <c:strRef>
              <c:f>Data_Channel!$C$11</c:f>
              <c:strCache>
                <c:ptCount val="1"/>
                <c:pt idx="0">
                  <c:v>Channel 2 Customers 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cat>
            <c:strRef>
              <c:f>Data_Channel!$A$12:$A$24</c:f>
              <c:strCache>
                <c:ptCount val="13"/>
                <c:pt idx="0">
                  <c:v>Sep 2019</c:v>
                </c:pt>
                <c:pt idx="1">
                  <c:v>Oct 2019</c:v>
                </c:pt>
                <c:pt idx="2">
                  <c:v>Nov 2019</c:v>
                </c:pt>
                <c:pt idx="3">
                  <c:v>Dec 2019</c:v>
                </c:pt>
                <c:pt idx="4">
                  <c:v>Jan 2020</c:v>
                </c:pt>
                <c:pt idx="5">
                  <c:v>Feb 2020</c:v>
                </c:pt>
                <c:pt idx="6">
                  <c:v>Mar 2020</c:v>
                </c:pt>
                <c:pt idx="7">
                  <c:v>Apr 2020</c:v>
                </c:pt>
                <c:pt idx="8">
                  <c:v>May 2020</c:v>
                </c:pt>
                <c:pt idx="9">
                  <c:v>Jun 2020</c:v>
                </c:pt>
                <c:pt idx="10">
                  <c:v>Jul 2020</c:v>
                </c:pt>
                <c:pt idx="11">
                  <c:v>Aug 2020</c:v>
                </c:pt>
                <c:pt idx="12">
                  <c:v>Sep 2020</c:v>
                </c:pt>
              </c:strCache>
            </c:strRef>
          </c:cat>
          <c:val>
            <c:numRef>
              <c:f>Data_Channel!$C$12:$C$24</c:f>
              <c:numCache>
                <c:formatCode>_(* #,##0_);_(* \(#,##0\);_(* "-"??_);_(@_)</c:formatCode>
                <c:ptCount val="13"/>
                <c:pt idx="0">
                  <c:v>69850</c:v>
                </c:pt>
                <c:pt idx="1">
                  <c:v>154301</c:v>
                </c:pt>
                <c:pt idx="2">
                  <c:v>177058</c:v>
                </c:pt>
                <c:pt idx="3">
                  <c:v>151868</c:v>
                </c:pt>
                <c:pt idx="4">
                  <c:v>146124</c:v>
                </c:pt>
                <c:pt idx="5">
                  <c:v>136254</c:v>
                </c:pt>
                <c:pt idx="6">
                  <c:v>167726</c:v>
                </c:pt>
                <c:pt idx="7">
                  <c:v>228713</c:v>
                </c:pt>
                <c:pt idx="8">
                  <c:v>177660</c:v>
                </c:pt>
                <c:pt idx="9">
                  <c:v>200461</c:v>
                </c:pt>
                <c:pt idx="10">
                  <c:v>152540</c:v>
                </c:pt>
                <c:pt idx="11">
                  <c:v>154670</c:v>
                </c:pt>
                <c:pt idx="12">
                  <c:v>116734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8-468A-B33A-4EBE36F26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789511"/>
        <c:axId val="1813424647"/>
      </c:lineChart>
      <c:catAx>
        <c:axId val="1808789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813424647"/>
        <c:crosses val="autoZero"/>
        <c:auto val="1"/>
        <c:lblAlgn val="ctr"/>
        <c:lblOffset val="100"/>
        <c:noMultiLvlLbl val="0"/>
      </c:catAx>
      <c:valAx>
        <c:axId val="1813424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808789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95959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Top Product Groups by Purchase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95959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Data_Product!$B$3</c:f>
              <c:strCache>
                <c:ptCount val="1"/>
                <c:pt idx="0">
                  <c:v>Purchase Count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Data_Product!$A$4:$A$13</c:f>
              <c:strCache>
                <c:ptCount val="10"/>
                <c:pt idx="0">
                  <c:v>Garment Upper body</c:v>
                </c:pt>
                <c:pt idx="1">
                  <c:v>Garment Lower body</c:v>
                </c:pt>
                <c:pt idx="2">
                  <c:v>Garment Full body</c:v>
                </c:pt>
                <c:pt idx="3">
                  <c:v>Underwear</c:v>
                </c:pt>
                <c:pt idx="4">
                  <c:v>Swimwear</c:v>
                </c:pt>
                <c:pt idx="5">
                  <c:v>Accessories</c:v>
                </c:pt>
                <c:pt idx="6">
                  <c:v>Socks &amp; Tights</c:v>
                </c:pt>
                <c:pt idx="7">
                  <c:v>Shoes</c:v>
                </c:pt>
                <c:pt idx="8">
                  <c:v>Nightwear</c:v>
                </c:pt>
                <c:pt idx="9">
                  <c:v>Unknown</c:v>
                </c:pt>
              </c:strCache>
            </c:strRef>
          </c:cat>
          <c:val>
            <c:numRef>
              <c:f>Data_Product!$B$4:$B$13</c:f>
              <c:numCache>
                <c:formatCode>_(* #,##0_);_(* \(#,##0\);_(* "-"??_);_(@_)</c:formatCode>
                <c:ptCount val="10"/>
                <c:pt idx="0">
                  <c:v>5754235</c:v>
                </c:pt>
                <c:pt idx="1">
                  <c:v>3252953</c:v>
                </c:pt>
                <c:pt idx="2">
                  <c:v>1763519</c:v>
                </c:pt>
                <c:pt idx="3">
                  <c:v>1305333</c:v>
                </c:pt>
                <c:pt idx="4">
                  <c:v>1144451</c:v>
                </c:pt>
                <c:pt idx="5">
                  <c:v>756926</c:v>
                </c:pt>
                <c:pt idx="6">
                  <c:v>334296</c:v>
                </c:pt>
                <c:pt idx="7">
                  <c:v>319122</c:v>
                </c:pt>
                <c:pt idx="8">
                  <c:v>178795</c:v>
                </c:pt>
                <c:pt idx="9">
                  <c:v>77399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2-456F-A3E9-BF89BEE8E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5618055"/>
        <c:axId val="1801736711"/>
      </c:barChart>
      <c:catAx>
        <c:axId val="17756180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801736711"/>
        <c:crosses val="autoZero"/>
        <c:auto val="1"/>
        <c:lblAlgn val="ctr"/>
        <c:lblOffset val="100"/>
        <c:noMultiLvlLbl val="0"/>
      </c:catAx>
      <c:valAx>
        <c:axId val="1801736711"/>
        <c:scaling>
          <c:orientation val="minMax"/>
          <c:max val="6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77561805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5</xdr:row>
      <xdr:rowOff>114300</xdr:rowOff>
    </xdr:from>
    <xdr:to>
      <xdr:col>6</xdr:col>
      <xdr:colOff>276225</xdr:colOff>
      <xdr:row>21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D1BFE0-A672-4C49-9654-F569CCBD6BE2}"/>
            </a:ext>
            <a:ext uri="{147F2762-F138-4A5C-976F-8EAC2B608ADB}">
              <a16:predDERef xmlns:a16="http://schemas.microsoft.com/office/drawing/2014/main" pred="{6B1ABCC6-F689-4D0B-B64F-C153583D8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371475</xdr:colOff>
      <xdr:row>5</xdr:row>
      <xdr:rowOff>114300</xdr:rowOff>
    </xdr:from>
    <xdr:to>
      <xdr:col>11</xdr:col>
      <xdr:colOff>1038225</xdr:colOff>
      <xdr:row>21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69D002-D72F-4378-9E23-2187615090CC}"/>
            </a:ext>
            <a:ext uri="{147F2762-F138-4A5C-976F-8EAC2B608ADB}">
              <a16:predDERef xmlns:a16="http://schemas.microsoft.com/office/drawing/2014/main" pred="{EFD1BFE0-A672-4C49-9654-F569CCBD6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171450</xdr:rowOff>
    </xdr:from>
    <xdr:to>
      <xdr:col>6</xdr:col>
      <xdr:colOff>866775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59B8F-F1D2-4347-B664-0C9C11EDB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1000125</xdr:colOff>
      <xdr:row>5</xdr:row>
      <xdr:rowOff>180975</xdr:rowOff>
    </xdr:from>
    <xdr:to>
      <xdr:col>12</xdr:col>
      <xdr:colOff>638175</xdr:colOff>
      <xdr:row>21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68BC3C-D35A-4D20-A6D0-C5F9D678E79C}"/>
            </a:ext>
            <a:ext uri="{147F2762-F138-4A5C-976F-8EAC2B608ADB}">
              <a16:predDERef xmlns:a16="http://schemas.microsoft.com/office/drawing/2014/main" pred="{BA159B8F-F1D2-4347-B664-0C9C11EDB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9525</xdr:rowOff>
    </xdr:from>
    <xdr:to>
      <xdr:col>6</xdr:col>
      <xdr:colOff>923925</xdr:colOff>
      <xdr:row>20</xdr:row>
      <xdr:rowOff>219075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F2B808-72B5-4F11-9BD5-2D03F284A930}"/>
            </a:ext>
            <a:ext uri="{147F2762-F138-4A5C-976F-8EAC2B608ADB}">
              <a16:predDERef xmlns:a16="http://schemas.microsoft.com/office/drawing/2014/main" pred="{35B1015A-F7C2-427A-A11C-16A21B673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1000125</xdr:colOff>
      <xdr:row>6</xdr:row>
      <xdr:rowOff>9525</xdr:rowOff>
    </xdr:from>
    <xdr:to>
      <xdr:col>12</xdr:col>
      <xdr:colOff>628650</xdr:colOff>
      <xdr:row>20</xdr:row>
      <xdr:rowOff>219075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BC4682-7449-41B2-8643-48748A5D2FF6}"/>
            </a:ext>
            <a:ext uri="{147F2762-F138-4A5C-976F-8EAC2B608ADB}">
              <a16:predDERef xmlns:a16="http://schemas.microsoft.com/office/drawing/2014/main" pred="{A8F2B808-72B5-4F11-9BD5-2D03F284A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0.915943171298" createdVersion="8" refreshedVersion="8" minRefreshableVersion="3" recordCount="72" xr:uid="{51A18310-F376-4580-B92E-1404751EB33C}">
  <cacheSource type="worksheet">
    <worksheetSource ref="A27:D99" sheet="Data_Product"/>
  </cacheSource>
  <cacheFields count="4">
    <cacheField name="Value Quartile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roduct Group" numFmtId="0">
      <sharedItems count="19">
        <s v="Garment Upper body"/>
        <s v="Garment Lower body"/>
        <s v="Underwear"/>
        <s v="Garment Full body"/>
        <s v="Accessories"/>
        <s v="Swimwear"/>
        <s v="Socks &amp; Tights"/>
        <s v="Shoes"/>
        <s v="Nightwear"/>
        <s v="Unknown"/>
        <s v="Bags"/>
        <s v="Items"/>
        <s v="Furniture"/>
        <s v="Stationery"/>
        <s v="Garment and Shoe care"/>
        <s v="Cosmetic"/>
        <s v="Underwear/nightwear"/>
        <s v="Interior textile"/>
        <s v="Fun"/>
      </sharedItems>
    </cacheField>
    <cacheField name="Purchase Count" numFmtId="164">
      <sharedItems containsSemiMixedTypes="0" containsString="0" containsNumber="1" containsInteger="1" minValue="1" maxValue="3864582"/>
    </cacheField>
    <cacheField name="Purchase Share" numFmtId="168">
      <sharedItems containsSemiMixedTypes="0" containsString="0" containsNumber="1" minValue="3.3008235224606202E-7" maxValue="0.3868736811147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n v="204450"/>
    <n v="0.38621963797930298"/>
  </r>
  <r>
    <x v="0"/>
    <x v="1"/>
    <n v="94366"/>
    <n v="0.17826364567158201"/>
  </r>
  <r>
    <x v="0"/>
    <x v="2"/>
    <n v="57050"/>
    <n v="0.107771241607822"/>
  </r>
  <r>
    <x v="0"/>
    <x v="3"/>
    <n v="45134"/>
    <n v="8.5261125656922898E-2"/>
  </r>
  <r>
    <x v="0"/>
    <x v="4"/>
    <n v="42750"/>
    <n v="8.0757591213574106E-2"/>
  </r>
  <r>
    <x v="0"/>
    <x v="5"/>
    <n v="41823"/>
    <n v="7.9006426604100802E-2"/>
  </r>
  <r>
    <x v="0"/>
    <x v="6"/>
    <n v="21706"/>
    <n v="4.1004076605423101E-2"/>
  </r>
  <r>
    <x v="0"/>
    <x v="7"/>
    <n v="10300"/>
    <n v="1.9457384549703201E-2"/>
  </r>
  <r>
    <x v="0"/>
    <x v="8"/>
    <n v="8104"/>
    <n v="1.53089946010481E-2"/>
  </r>
  <r>
    <x v="0"/>
    <x v="9"/>
    <n v="2877"/>
    <n v="5.4348442086889501E-3"/>
  </r>
  <r>
    <x v="0"/>
    <x v="10"/>
    <n v="440"/>
    <n v="8.3118924289994395E-4"/>
  </r>
  <r>
    <x v="0"/>
    <x v="11"/>
    <n v="276"/>
    <n v="5.2138234327360098E-4"/>
  </r>
  <r>
    <x v="0"/>
    <x v="12"/>
    <n v="49"/>
    <n v="9.2564256595675605E-5"/>
  </r>
  <r>
    <x v="0"/>
    <x v="13"/>
    <n v="20"/>
    <n v="3.7781329222724701E-5"/>
  </r>
  <r>
    <x v="0"/>
    <x v="14"/>
    <n v="8"/>
    <n v="1.51125316890899E-5"/>
  </r>
  <r>
    <x v="0"/>
    <x v="15"/>
    <n v="7"/>
    <n v="1.3223465227953601E-5"/>
  </r>
  <r>
    <x v="0"/>
    <x v="16"/>
    <n v="2"/>
    <n v="3.7781329222724698E-6"/>
  </r>
  <r>
    <x v="1"/>
    <x v="0"/>
    <n v="513151"/>
    <n v="0.38584406561479301"/>
  </r>
  <r>
    <x v="1"/>
    <x v="1"/>
    <n v="269529"/>
    <n v="0.20266191659197699"/>
  </r>
  <r>
    <x v="1"/>
    <x v="2"/>
    <n v="143869"/>
    <n v="0.108176735261034"/>
  </r>
  <r>
    <x v="1"/>
    <x v="3"/>
    <n v="121824"/>
    <n v="9.1600849359070799E-2"/>
  </r>
  <r>
    <x v="1"/>
    <x v="5"/>
    <n v="117127"/>
    <n v="8.8069121707380196E-2"/>
  </r>
  <r>
    <x v="1"/>
    <x v="4"/>
    <n v="75595"/>
    <n v="5.6840739158942E-2"/>
  </r>
  <r>
    <x v="1"/>
    <x v="6"/>
    <n v="40795"/>
    <n v="3.0674223877095601E-2"/>
  </r>
  <r>
    <x v="1"/>
    <x v="7"/>
    <n v="22576"/>
    <n v="1.6975150833418599E-2"/>
  </r>
  <r>
    <x v="1"/>
    <x v="8"/>
    <n v="16574"/>
    <n v="1.2462178858658701E-2"/>
  </r>
  <r>
    <x v="1"/>
    <x v="9"/>
    <n v="7714"/>
    <n v="5.8002442208093001E-3"/>
  </r>
  <r>
    <x v="1"/>
    <x v="10"/>
    <n v="594"/>
    <n v="4.4663534705220698E-4"/>
  </r>
  <r>
    <x v="1"/>
    <x v="11"/>
    <n v="471"/>
    <n v="3.5415024993533601E-4"/>
  </r>
  <r>
    <x v="1"/>
    <x v="12"/>
    <n v="48"/>
    <n v="3.6091745216339901E-5"/>
  </r>
  <r>
    <x v="1"/>
    <x v="15"/>
    <n v="27"/>
    <n v="2.0301606684191201E-5"/>
  </r>
  <r>
    <x v="1"/>
    <x v="14"/>
    <n v="22"/>
    <n v="1.65420498908225E-5"/>
  </r>
  <r>
    <x v="1"/>
    <x v="13"/>
    <n v="17"/>
    <n v="1.2782493097453699E-5"/>
  </r>
  <r>
    <x v="1"/>
    <x v="16"/>
    <n v="11"/>
    <n v="8.2710249454112297E-6"/>
  </r>
  <r>
    <x v="2"/>
    <x v="0"/>
    <n v="1172052"/>
    <n v="0.386873681114701"/>
  </r>
  <r>
    <x v="2"/>
    <x v="1"/>
    <n v="637268"/>
    <n v="0.21035092045114301"/>
  </r>
  <r>
    <x v="2"/>
    <x v="3"/>
    <n v="302048"/>
    <n v="9.9700714331218507E-2"/>
  </r>
  <r>
    <x v="2"/>
    <x v="2"/>
    <n v="301782"/>
    <n v="9.9612912425521005E-2"/>
  </r>
  <r>
    <x v="2"/>
    <x v="5"/>
    <n v="256592"/>
    <n v="8.4696490927521503E-2"/>
  </r>
  <r>
    <x v="2"/>
    <x v="4"/>
    <n v="167151"/>
    <n v="5.5173595260281497E-2"/>
  </r>
  <r>
    <x v="2"/>
    <x v="6"/>
    <n v="85393"/>
    <n v="2.8186722305348001E-2"/>
  </r>
  <r>
    <x v="2"/>
    <x v="7"/>
    <n v="53500"/>
    <n v="1.7659405845164299E-2"/>
  </r>
  <r>
    <x v="2"/>
    <x v="8"/>
    <n v="34850"/>
    <n v="1.15033699757753E-2"/>
  </r>
  <r>
    <x v="2"/>
    <x v="9"/>
    <n v="16454"/>
    <n v="5.4311750238567004E-3"/>
  </r>
  <r>
    <x v="2"/>
    <x v="10"/>
    <n v="1112"/>
    <n v="3.67051575697621E-4"/>
  </r>
  <r>
    <x v="2"/>
    <x v="11"/>
    <n v="1072"/>
    <n v="3.5384828160777798E-4"/>
  </r>
  <r>
    <x v="2"/>
    <x v="12"/>
    <n v="82"/>
    <n v="2.7066752884177099E-5"/>
  </r>
  <r>
    <x v="2"/>
    <x v="15"/>
    <n v="70"/>
    <n v="2.3105764657224298E-5"/>
  </r>
  <r>
    <x v="2"/>
    <x v="13"/>
    <n v="49"/>
    <n v="1.6174035260057001E-5"/>
  </r>
  <r>
    <x v="2"/>
    <x v="14"/>
    <n v="42"/>
    <n v="1.38634587943346E-5"/>
  </r>
  <r>
    <x v="2"/>
    <x v="16"/>
    <n v="27"/>
    <n v="8.9122235106436704E-6"/>
  </r>
  <r>
    <x v="2"/>
    <x v="17"/>
    <n v="2"/>
    <n v="6.6016470449212405E-7"/>
  </r>
  <r>
    <x v="2"/>
    <x v="18"/>
    <n v="1"/>
    <n v="3.3008235224606202E-7"/>
  </r>
  <r>
    <x v="3"/>
    <x v="0"/>
    <n v="3864582"/>
    <n v="0.38608871310156201"/>
  </r>
  <r>
    <x v="3"/>
    <x v="1"/>
    <n v="2251790"/>
    <n v="0.22496370972978899"/>
  </r>
  <r>
    <x v="3"/>
    <x v="3"/>
    <n v="1294513"/>
    <n v="0.129327533550392"/>
  </r>
  <r>
    <x v="3"/>
    <x v="2"/>
    <n v="802632"/>
    <n v="8.0186461556290597E-2"/>
  </r>
  <r>
    <x v="3"/>
    <x v="5"/>
    <n v="728909"/>
    <n v="7.2821210101932404E-2"/>
  </r>
  <r>
    <x v="3"/>
    <x v="4"/>
    <n v="471430"/>
    <n v="4.7097927283589601E-2"/>
  </r>
  <r>
    <x v="3"/>
    <x v="7"/>
    <n v="232746"/>
    <n v="2.32523475034392E-2"/>
  </r>
  <r>
    <x v="3"/>
    <x v="6"/>
    <n v="186402"/>
    <n v="1.8622378383886602E-2"/>
  </r>
  <r>
    <x v="3"/>
    <x v="8"/>
    <n v="119267"/>
    <n v="1.19152970607129E-2"/>
  </r>
  <r>
    <x v="3"/>
    <x v="9"/>
    <n v="50354"/>
    <n v="5.0305857294569104E-3"/>
  </r>
  <r>
    <x v="3"/>
    <x v="10"/>
    <n v="3568"/>
    <n v="3.5645886886249902E-4"/>
  </r>
  <r>
    <x v="3"/>
    <x v="11"/>
    <n v="2369"/>
    <n v="2.3667350345719099E-4"/>
  </r>
  <r>
    <x v="3"/>
    <x v="12"/>
    <n v="350"/>
    <n v="3.4966537024068E-5"/>
  </r>
  <r>
    <x v="3"/>
    <x v="14"/>
    <n v="207"/>
    <n v="2.0680209039948801E-5"/>
  </r>
  <r>
    <x v="3"/>
    <x v="15"/>
    <n v="177"/>
    <n v="1.7683077295028701E-5"/>
  </r>
  <r>
    <x v="3"/>
    <x v="13"/>
    <n v="143"/>
    <n v="1.42863279841192E-5"/>
  </r>
  <r>
    <x v="3"/>
    <x v="16"/>
    <n v="108"/>
    <n v="1.0789674281712399E-5"/>
  </r>
  <r>
    <x v="3"/>
    <x v="17"/>
    <n v="19"/>
    <n v="1.8981834384494001E-6"/>
  </r>
  <r>
    <x v="3"/>
    <x v="18"/>
    <n v="4"/>
    <n v="3.9961756598934802E-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B0DF7-6D29-477B-B4CB-5DEF0D3BE6C7}" name="PivotTable2" cacheId="54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A5:E26" firstHeaderRow="1" firstDataRow="2" firstDataCol="1"/>
  <pivotFields count="4">
    <pivotField axis="axisCol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20">
        <item x="4"/>
        <item x="10"/>
        <item x="15"/>
        <item x="18"/>
        <item x="12"/>
        <item x="14"/>
        <item x="3"/>
        <item x="1"/>
        <item x="0"/>
        <item x="17"/>
        <item x="11"/>
        <item x="8"/>
        <item x="7"/>
        <item x="6"/>
        <item x="13"/>
        <item x="5"/>
        <item x="2"/>
        <item x="16"/>
        <item x="9"/>
        <item t="default"/>
      </items>
    </pivotField>
    <pivotField compact="0" numFmtId="164" outline="0" showAll="0"/>
    <pivotField dataField="1" compact="0" numFmtId="168" outline="0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Purchase Share %" fld="3" baseField="0" baseItem="0" numFmtId="10"/>
  </dataFields>
  <formats count="49">
    <format dxfId="3">
      <pivotArea outline="0" collapsedLevelsAreSubtotals="1" fieldPosition="0"/>
    </format>
    <format dxfId="4">
      <pivotArea type="all" dataOnly="0" outline="0" fieldPosition="0"/>
    </format>
    <format dxfId="5">
      <pivotArea type="origin" dataOnly="0" labelOnly="1" outline="0" fieldPosition="0"/>
    </format>
    <format dxfId="6">
      <pivotArea field="0" type="button" dataOnly="0" labelOnly="1" outline="0" axis="axisCol" fieldPosition="0"/>
    </format>
    <format dxfId="7">
      <pivotArea type="topRight" dataOnly="0" labelOnly="1" outline="0" fieldPosition="0"/>
    </format>
    <format dxfId="8">
      <pivotArea field="1" type="button" dataOnly="0" labelOnly="1" outline="0" axis="axisRow" fieldPosition="0"/>
    </format>
    <format dxfId="9">
      <pivotArea dataOnly="0" labelOnly="1" grandRow="1" outline="0" fieldPosition="0"/>
    </format>
    <format dxfId="10">
      <pivotArea dataOnly="0" labelOnly="1" outline="0" fieldPosition="0">
        <references count="1">
          <reference field="0" count="0"/>
        </references>
      </pivotArea>
    </format>
    <format dxfId="11">
      <pivotArea type="origin" dataOnly="0" labelOnly="1" outline="0" fieldPosition="0"/>
    </format>
    <format dxfId="12">
      <pivotArea field="0" type="button" dataOnly="0" labelOnly="1" outline="0" axis="axisCol" fieldPosition="0"/>
    </format>
    <format dxfId="13">
      <pivotArea type="topRight" dataOnly="0" labelOnly="1" outline="0" fieldPosition="0"/>
    </format>
    <format dxfId="14">
      <pivotArea field="1" type="button" dataOnly="0" labelOnly="1" outline="0" axis="axisRow" fieldPosition="0"/>
    </format>
    <format dxfId="15">
      <pivotArea dataOnly="0" labelOnly="1" outline="0" fieldPosition="0">
        <references count="1">
          <reference field="0" count="0"/>
        </references>
      </pivotArea>
    </format>
    <format dxfId="16">
      <pivotArea type="origin" dataOnly="0" labelOnly="1" outline="0" fieldPosition="0"/>
    </format>
    <format dxfId="17">
      <pivotArea field="0" type="button" dataOnly="0" labelOnly="1" outline="0" axis="axisCol" fieldPosition="0"/>
    </format>
    <format dxfId="18">
      <pivotArea type="topRight" dataOnly="0" labelOnly="1" outline="0" fieldPosition="0"/>
    </format>
    <format dxfId="19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0" count="0"/>
        </references>
      </pivotArea>
    </format>
    <format dxfId="21">
      <pivotArea type="origin" dataOnly="0" labelOnly="1" outline="0" fieldPosition="0"/>
    </format>
    <format dxfId="22">
      <pivotArea field="0" type="button" dataOnly="0" labelOnly="1" outline="0" axis="axisCol" fieldPosition="0"/>
    </format>
    <format dxfId="23">
      <pivotArea type="topRight" dataOnly="0" labelOnly="1" outline="0" fieldPosition="0"/>
    </format>
    <format dxfId="24">
      <pivotArea field="1" type="button" dataOnly="0" labelOnly="1" outline="0" axis="axisRow" fieldPosition="0"/>
    </format>
    <format dxfId="25">
      <pivotArea dataOnly="0" labelOnly="1" outline="0" fieldPosition="0">
        <references count="1">
          <reference field="0" count="0"/>
        </references>
      </pivotArea>
    </format>
    <format dxfId="26">
      <pivotArea grandRow="1" outline="0" collapsedLevelsAreSubtotals="1" fieldPosition="0"/>
    </format>
    <format dxfId="27">
      <pivotArea dataOnly="0" labelOnly="1" grandRow="1" outline="0" fieldPosition="0"/>
    </format>
    <format dxfId="28">
      <pivotArea grandRow="1" outline="0" collapsedLevelsAreSubtotals="1" fieldPosition="0"/>
    </format>
    <format dxfId="29">
      <pivotArea dataOnly="0" labelOnly="1" grandRow="1" outline="0" fieldPosition="0"/>
    </format>
    <format dxfId="30">
      <pivotArea grandRow="1" outline="0" collapsedLevelsAreSubtotals="1" fieldPosition="0"/>
    </format>
    <format dxfId="31">
      <pivotArea dataOnly="0" labelOnly="1" grandRow="1" outline="0" fieldPosition="0"/>
    </format>
    <format dxfId="32">
      <pivotArea type="all" dataOnly="0" outline="0" fieldPosition="0"/>
    </format>
    <format dxfId="33">
      <pivotArea outline="0" collapsedLevelsAreSubtotals="1" fieldPosition="0"/>
    </format>
    <format dxfId="34">
      <pivotArea type="origin" dataOnly="0" labelOnly="1" outline="0" fieldPosition="0"/>
    </format>
    <format dxfId="35">
      <pivotArea field="0" type="button" dataOnly="0" labelOnly="1" outline="0" axis="axisCol" fieldPosition="0"/>
    </format>
    <format dxfId="36">
      <pivotArea type="topRight" dataOnly="0" labelOnly="1" outline="0" fieldPosition="0"/>
    </format>
    <format dxfId="37">
      <pivotArea field="1" type="button" dataOnly="0" labelOnly="1" outline="0" axis="axisRow" fieldPosition="0"/>
    </format>
    <format dxfId="38">
      <pivotArea dataOnly="0" labelOnly="1" outline="0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40">
      <pivotArea dataOnly="0" labelOnly="1" outline="0" fieldPosition="0">
        <references count="1">
          <reference field="0" count="0"/>
        </references>
      </pivotArea>
    </format>
    <format dxfId="41">
      <pivotArea type="all" dataOnly="0" outline="0" fieldPosition="0"/>
    </format>
    <format dxfId="42">
      <pivotArea outline="0" collapsedLevelsAreSubtotals="1" fieldPosition="0"/>
    </format>
    <format dxfId="43">
      <pivotArea type="origin" dataOnly="0" labelOnly="1" outline="0" fieldPosition="0"/>
    </format>
    <format dxfId="44">
      <pivotArea field="0" type="button" dataOnly="0" labelOnly="1" outline="0" axis="axisCol" fieldPosition="0"/>
    </format>
    <format dxfId="45">
      <pivotArea type="topRight" dataOnly="0" labelOnly="1" outline="0" fieldPosition="0"/>
    </format>
    <format dxfId="46">
      <pivotArea field="1" type="button" dataOnly="0" labelOnly="1" outline="0" axis="axisRow" fieldPosition="0"/>
    </format>
    <format dxfId="47">
      <pivotArea dataOnly="0" labelOnly="1" outline="0" fieldPosition="0">
        <references count="1">
          <reference field="1" count="0"/>
        </references>
      </pivotArea>
    </format>
    <format dxfId="48">
      <pivotArea dataOnly="0" labelOnly="1" grandRow="1" outline="0" fieldPosition="0"/>
    </format>
    <format dxfId="49">
      <pivotArea dataOnly="0" labelOnly="1" outline="0" fieldPosition="0">
        <references count="1">
          <reference field="0" count="0"/>
        </references>
      </pivotArea>
    </format>
    <format dxfId="50">
      <pivotArea outline="0" fieldPosition="0">
        <references count="1">
          <reference field="1" count="0" selected="0"/>
        </references>
      </pivotArea>
    </format>
    <format dxfId="51">
      <pivotArea dataOnly="0" labelOnly="1" outline="0" fieldPosition="0">
        <references count="1">
          <reference field="1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21C6-D6C7-4231-80D2-11868F849754}">
  <dimension ref="A1:U35"/>
  <sheetViews>
    <sheetView showGridLines="0" tabSelected="1" workbookViewId="0"/>
  </sheetViews>
  <sheetFormatPr defaultRowHeight="15"/>
  <cols>
    <col min="1" max="1" width="5.28515625" customWidth="1"/>
    <col min="2" max="3" width="15.7109375" customWidth="1"/>
    <col min="4" max="4" width="10.7109375" customWidth="1"/>
    <col min="5" max="6" width="15.7109375" customWidth="1"/>
    <col min="7" max="7" width="10.7109375" customWidth="1"/>
    <col min="8" max="9" width="15.7109375" customWidth="1"/>
    <col min="10" max="10" width="10.7109375" customWidth="1"/>
    <col min="11" max="12" width="15.7109375" customWidth="1"/>
    <col min="13" max="13" width="9.7109375" customWidth="1"/>
    <col min="15" max="15" width="3.85546875" customWidth="1"/>
    <col min="17" max="17" width="13.28515625" customWidth="1"/>
    <col min="18" max="18" width="12.7109375" customWidth="1"/>
  </cols>
  <sheetData>
    <row r="1" spans="2:21" ht="28.5">
      <c r="B1" s="14" t="s">
        <v>0</v>
      </c>
      <c r="C1" s="14"/>
      <c r="D1" s="14"/>
      <c r="E1" s="14"/>
      <c r="F1" s="14"/>
      <c r="G1" s="14"/>
      <c r="H1" s="14"/>
      <c r="I1" s="14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2:21">
      <c r="B2" s="15" t="s">
        <v>1</v>
      </c>
      <c r="C2" s="15"/>
      <c r="D2" s="15"/>
      <c r="E2" s="15"/>
      <c r="F2" s="15"/>
      <c r="G2" s="15"/>
      <c r="H2" s="15"/>
      <c r="I2" s="15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2:21" ht="23.25" customHeight="1">
      <c r="G3" s="9"/>
      <c r="H3" s="9"/>
      <c r="I3" s="9"/>
      <c r="K3" s="9"/>
      <c r="O3" s="10"/>
      <c r="S3" s="10"/>
      <c r="T3" s="10"/>
      <c r="U3" s="10"/>
    </row>
    <row r="4" spans="2:21" ht="23.25" customHeight="1">
      <c r="B4" s="25" t="s">
        <v>2</v>
      </c>
      <c r="C4" s="26"/>
      <c r="E4" s="27" t="s">
        <v>3</v>
      </c>
      <c r="F4" s="28"/>
      <c r="H4" s="27" t="s">
        <v>4</v>
      </c>
      <c r="I4" s="28"/>
      <c r="K4" s="27" t="s">
        <v>5</v>
      </c>
      <c r="L4" s="28"/>
      <c r="N4" s="10"/>
      <c r="O4" s="10"/>
      <c r="S4" s="10"/>
      <c r="T4" s="10"/>
      <c r="U4" s="10"/>
    </row>
    <row r="5" spans="2:21" ht="49.5" customHeight="1">
      <c r="B5" s="80">
        <v>994320</v>
      </c>
      <c r="C5" s="79"/>
      <c r="E5" s="81">
        <v>0.65600000000000003</v>
      </c>
      <c r="F5" s="82"/>
      <c r="H5" s="84">
        <v>323374</v>
      </c>
      <c r="I5" s="83"/>
      <c r="K5" s="85">
        <v>4.4000000000000004</v>
      </c>
      <c r="L5" s="86"/>
      <c r="M5" s="9"/>
      <c r="N5" s="10"/>
      <c r="O5" s="10"/>
      <c r="P5" s="10"/>
      <c r="Q5" s="10"/>
      <c r="R5" s="10"/>
      <c r="S5" s="10"/>
      <c r="T5" s="10"/>
      <c r="U5" s="10"/>
    </row>
    <row r="6" spans="2:21">
      <c r="B6" s="11"/>
      <c r="C6" s="11"/>
      <c r="D6" s="10"/>
      <c r="E6" s="11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2:2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2:21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2:21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2:21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2:21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2:21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2:21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2:21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2:21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ht="18.7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  <c r="P22" s="13"/>
      <c r="Q22" s="13"/>
      <c r="R22" s="13"/>
      <c r="S22" s="10"/>
      <c r="T22" s="10"/>
      <c r="U22" s="10"/>
    </row>
    <row r="23" spans="1:21" ht="30" customHeight="1">
      <c r="B23" s="90" t="s">
        <v>6</v>
      </c>
      <c r="C23" s="91"/>
      <c r="D23" s="91"/>
      <c r="E23" s="91"/>
      <c r="F23" s="91"/>
      <c r="G23" s="91"/>
      <c r="H23" s="91"/>
      <c r="I23" s="91"/>
      <c r="J23" s="91"/>
      <c r="K23" s="91"/>
      <c r="L23" s="92"/>
      <c r="M23" s="76"/>
      <c r="N23" s="13"/>
      <c r="O23" s="12"/>
      <c r="P23" s="12"/>
      <c r="Q23" s="12"/>
      <c r="R23" s="12"/>
      <c r="S23" s="10"/>
      <c r="T23" s="10"/>
      <c r="U23" s="10"/>
    </row>
    <row r="24" spans="1:21" ht="20.25" customHeight="1">
      <c r="B24" s="93" t="s">
        <v>7</v>
      </c>
      <c r="C24" s="87"/>
      <c r="D24" s="87"/>
      <c r="E24" s="87"/>
      <c r="F24" s="87"/>
      <c r="G24" s="87"/>
      <c r="H24" s="87"/>
      <c r="I24" s="87"/>
      <c r="J24" s="87"/>
      <c r="K24" s="87"/>
      <c r="L24" s="94"/>
      <c r="M24" s="77"/>
      <c r="N24" s="12"/>
      <c r="O24" s="12"/>
      <c r="P24" s="12"/>
      <c r="Q24" s="12"/>
      <c r="R24" s="12"/>
      <c r="S24" s="10"/>
      <c r="T24" s="10"/>
      <c r="U24" s="10"/>
    </row>
    <row r="25" spans="1:21" ht="20.25" customHeight="1">
      <c r="B25" s="95" t="s">
        <v>8</v>
      </c>
      <c r="C25" s="89"/>
      <c r="D25" s="89"/>
      <c r="E25" s="89"/>
      <c r="F25" s="89"/>
      <c r="G25" s="89"/>
      <c r="H25" s="89"/>
      <c r="I25" s="89"/>
      <c r="J25" s="89"/>
      <c r="K25" s="89"/>
      <c r="L25" s="96"/>
      <c r="M25" s="77"/>
      <c r="N25" s="12"/>
      <c r="O25" s="12"/>
      <c r="P25" s="12"/>
      <c r="Q25" s="12"/>
      <c r="R25" s="12"/>
      <c r="S25" s="10"/>
      <c r="T25" s="10"/>
      <c r="U25" s="10"/>
    </row>
    <row r="26" spans="1:21" ht="20.25" customHeight="1">
      <c r="B26" s="97" t="s">
        <v>9</v>
      </c>
      <c r="C26" s="88"/>
      <c r="D26" s="88"/>
      <c r="E26" s="88"/>
      <c r="F26" s="88"/>
      <c r="G26" s="88"/>
      <c r="H26" s="88"/>
      <c r="I26" s="88"/>
      <c r="J26" s="88"/>
      <c r="K26" s="88"/>
      <c r="L26" s="98"/>
      <c r="M26" s="78"/>
      <c r="N26" s="12"/>
      <c r="O26" s="10"/>
      <c r="P26" s="10"/>
      <c r="Q26" s="10"/>
      <c r="R26" s="10"/>
      <c r="S26" s="10"/>
      <c r="T26" s="10"/>
      <c r="U26" s="10"/>
    </row>
    <row r="27" spans="1:21" ht="20.25" customHeight="1">
      <c r="B27" s="99" t="s">
        <v>10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1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S28" s="10"/>
      <c r="T28" s="10"/>
      <c r="U28" s="10"/>
    </row>
    <row r="29" spans="1:21">
      <c r="S29" s="10"/>
      <c r="T29" s="10"/>
      <c r="U29" s="10"/>
    </row>
    <row r="30" spans="1:21">
      <c r="S30" s="10"/>
      <c r="T30" s="10"/>
      <c r="U30" s="10"/>
    </row>
    <row r="31" spans="1:21"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</sheetData>
  <mergeCells count="13">
    <mergeCell ref="B25:L25"/>
    <mergeCell ref="B26:L26"/>
    <mergeCell ref="B27:L27"/>
    <mergeCell ref="B4:C4"/>
    <mergeCell ref="K4:L4"/>
    <mergeCell ref="B5:C5"/>
    <mergeCell ref="K5:L5"/>
    <mergeCell ref="B23:L23"/>
    <mergeCell ref="B24:L24"/>
    <mergeCell ref="E4:F4"/>
    <mergeCell ref="H4:I4"/>
    <mergeCell ref="E5:F5"/>
    <mergeCell ref="H5:I5"/>
  </mergeCells>
  <printOptions horizontalCentered="1" verticalCentered="1"/>
  <pageMargins left="0.7" right="0.7" top="0.75" bottom="0.75" header="0.3" footer="0.3"/>
  <pageSetup scale="75" fitToWidth="0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D1B8-B1C6-4FC3-A6AA-EDC611045A69}">
  <dimension ref="A1:U35"/>
  <sheetViews>
    <sheetView showGridLines="0" topLeftCell="A4" workbookViewId="0">
      <selection activeCell="G29" sqref="G29"/>
    </sheetView>
  </sheetViews>
  <sheetFormatPr defaultRowHeight="15"/>
  <cols>
    <col min="1" max="1" width="5.28515625" customWidth="1"/>
    <col min="3" max="4" width="15.7109375" customWidth="1"/>
    <col min="5" max="5" width="7" customWidth="1"/>
    <col min="6" max="6" width="9.85546875" customWidth="1"/>
    <col min="7" max="8" width="15.7109375" customWidth="1"/>
    <col min="9" max="9" width="7.28515625" customWidth="1"/>
    <col min="10" max="10" width="7.140625" customWidth="1"/>
    <col min="11" max="12" width="15.7109375" customWidth="1"/>
    <col min="13" max="13" width="9.7109375" customWidth="1"/>
    <col min="15" max="15" width="3.85546875" customWidth="1"/>
    <col min="17" max="17" width="13.28515625" customWidth="1"/>
    <col min="18" max="18" width="12.7109375" customWidth="1"/>
  </cols>
  <sheetData>
    <row r="1" spans="2:21" ht="28.5">
      <c r="B1" s="14" t="s">
        <v>11</v>
      </c>
      <c r="C1" s="14"/>
      <c r="D1" s="14"/>
      <c r="E1" s="14"/>
      <c r="F1" s="14"/>
      <c r="G1" s="14"/>
      <c r="H1" s="14"/>
      <c r="I1" s="14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2:21">
      <c r="B2" s="15" t="s">
        <v>12</v>
      </c>
      <c r="C2" s="15"/>
      <c r="D2" s="15"/>
      <c r="E2" s="15"/>
      <c r="F2" s="15"/>
      <c r="G2" s="15"/>
      <c r="H2" s="15"/>
      <c r="I2" s="15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2:21" ht="23.25" customHeight="1">
      <c r="G3" s="9"/>
      <c r="H3" s="9"/>
      <c r="I3" s="9"/>
      <c r="K3" s="9"/>
      <c r="O3" s="10"/>
      <c r="S3" s="10"/>
      <c r="T3" s="10"/>
      <c r="U3" s="10"/>
    </row>
    <row r="4" spans="2:21" ht="23.25" customHeight="1">
      <c r="C4" s="25" t="s">
        <v>5</v>
      </c>
      <c r="D4" s="26"/>
      <c r="E4" s="9"/>
      <c r="G4" s="27" t="s">
        <v>13</v>
      </c>
      <c r="H4" s="28"/>
      <c r="I4" s="9"/>
      <c r="K4" s="27" t="s">
        <v>3</v>
      </c>
      <c r="L4" s="28"/>
      <c r="N4" s="10"/>
      <c r="O4" s="10"/>
      <c r="S4" s="10"/>
      <c r="T4" s="10"/>
      <c r="U4" s="10"/>
    </row>
    <row r="5" spans="2:21" ht="49.5" customHeight="1">
      <c r="C5" s="42">
        <v>4.4000000000000004</v>
      </c>
      <c r="D5" s="43"/>
      <c r="G5" s="40">
        <v>225</v>
      </c>
      <c r="H5" s="41"/>
      <c r="K5" s="38">
        <v>0.65600000000000003</v>
      </c>
      <c r="L5" s="39"/>
      <c r="M5" s="9"/>
      <c r="N5" s="10"/>
      <c r="O5" s="10"/>
      <c r="P5" s="10"/>
      <c r="Q5" s="10"/>
      <c r="R5" s="10"/>
      <c r="S5" s="10"/>
      <c r="T5" s="10"/>
      <c r="U5" s="10"/>
    </row>
    <row r="6" spans="2:21">
      <c r="B6" s="11"/>
      <c r="C6" s="11"/>
      <c r="D6" s="10"/>
      <c r="E6" s="11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2:2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2:21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2:21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2:21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2:21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2:21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2:21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2:21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2:21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ht="18.7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  <c r="P22" s="13"/>
      <c r="Q22" s="13"/>
      <c r="R22" s="13"/>
      <c r="S22" s="10"/>
      <c r="T22" s="10"/>
      <c r="U22" s="10"/>
    </row>
    <row r="23" spans="1:21" ht="30" customHeight="1">
      <c r="B23" s="35" t="s">
        <v>6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13"/>
      <c r="O23" s="12"/>
      <c r="P23" s="12"/>
      <c r="Q23" s="12"/>
      <c r="R23" s="12"/>
      <c r="S23" s="10"/>
      <c r="T23" s="10"/>
      <c r="U23" s="10"/>
    </row>
    <row r="24" spans="1:21" ht="20.25" customHeight="1">
      <c r="B24" s="112" t="s">
        <v>14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4"/>
      <c r="N24" s="12"/>
      <c r="O24" s="12"/>
      <c r="P24" s="12"/>
      <c r="Q24" s="12"/>
      <c r="R24" s="12"/>
      <c r="S24" s="10"/>
      <c r="T24" s="10"/>
      <c r="U24" s="10"/>
    </row>
    <row r="25" spans="1:21" ht="20.25" customHeight="1">
      <c r="B25" s="112" t="s">
        <v>15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6"/>
      <c r="N25" s="12"/>
      <c r="O25" s="12"/>
      <c r="P25" s="12"/>
      <c r="Q25" s="12"/>
      <c r="R25" s="12"/>
      <c r="S25" s="10"/>
      <c r="T25" s="10"/>
      <c r="U25" s="10"/>
    </row>
    <row r="26" spans="1:21" ht="20.25" customHeight="1">
      <c r="B26" s="117" t="s">
        <v>16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9"/>
      <c r="N26" s="12"/>
      <c r="O26" s="10"/>
      <c r="P26" s="10"/>
      <c r="Q26" s="10"/>
      <c r="R26" s="10"/>
      <c r="S26" s="10"/>
      <c r="T26" s="10"/>
      <c r="U26" s="10"/>
    </row>
    <row r="27" spans="1:21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S28" s="10"/>
      <c r="T28" s="10"/>
      <c r="U28" s="10"/>
    </row>
    <row r="29" spans="1:21">
      <c r="S29" s="10"/>
      <c r="T29" s="10"/>
      <c r="U29" s="10"/>
    </row>
    <row r="30" spans="1:21">
      <c r="S30" s="10"/>
      <c r="T30" s="10"/>
      <c r="U30" s="10"/>
    </row>
    <row r="31" spans="1:21"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</sheetData>
  <mergeCells count="10">
    <mergeCell ref="B23:M23"/>
    <mergeCell ref="B24:M24"/>
    <mergeCell ref="B25:M25"/>
    <mergeCell ref="B26:M26"/>
    <mergeCell ref="C4:D4"/>
    <mergeCell ref="G4:H4"/>
    <mergeCell ref="K4:L4"/>
    <mergeCell ref="K5:L5"/>
    <mergeCell ref="G5:H5"/>
    <mergeCell ref="C5:D5"/>
  </mergeCells>
  <printOptions horizontalCentered="1" verticalCentered="1"/>
  <pageMargins left="0.7" right="0.7" top="0.75" bottom="0.75" header="0.3" footer="0.3"/>
  <pageSetup scale="80" fitToWidth="0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2888-F463-4BFB-9AE7-FDF1838F73BB}">
  <dimension ref="A1:U35"/>
  <sheetViews>
    <sheetView showGridLines="0" workbookViewId="0">
      <selection activeCell="I30" sqref="I30"/>
    </sheetView>
  </sheetViews>
  <sheetFormatPr defaultRowHeight="15"/>
  <cols>
    <col min="1" max="1" width="5.28515625" customWidth="1"/>
    <col min="3" max="4" width="15.7109375" customWidth="1"/>
    <col min="5" max="5" width="7" customWidth="1"/>
    <col min="6" max="6" width="9.85546875" customWidth="1"/>
    <col min="7" max="8" width="15.7109375" customWidth="1"/>
    <col min="9" max="9" width="7.28515625" customWidth="1"/>
    <col min="10" max="10" width="7.140625" customWidth="1"/>
    <col min="11" max="12" width="15.7109375" customWidth="1"/>
    <col min="13" max="13" width="9.7109375" customWidth="1"/>
    <col min="15" max="15" width="3.85546875" customWidth="1"/>
    <col min="17" max="17" width="13.28515625" customWidth="1"/>
    <col min="18" max="18" width="12.7109375" customWidth="1"/>
  </cols>
  <sheetData>
    <row r="1" spans="2:21" ht="28.5">
      <c r="B1" s="14" t="s">
        <v>17</v>
      </c>
      <c r="C1" s="14"/>
      <c r="D1" s="14"/>
      <c r="E1" s="14"/>
      <c r="F1" s="14"/>
      <c r="G1" s="14"/>
      <c r="H1" s="14"/>
      <c r="I1" s="14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2:21">
      <c r="B2" s="15" t="s">
        <v>18</v>
      </c>
      <c r="C2" s="15"/>
      <c r="D2" s="15"/>
      <c r="E2" s="15"/>
      <c r="F2" s="15"/>
      <c r="G2" s="15"/>
      <c r="H2" s="15"/>
      <c r="I2" s="15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2:21" ht="7.5" customHeight="1">
      <c r="G3" s="9"/>
      <c r="H3" s="9"/>
      <c r="I3" s="9"/>
      <c r="K3" s="9"/>
      <c r="O3" s="10"/>
      <c r="S3" s="10"/>
      <c r="T3" s="10"/>
      <c r="U3" s="10"/>
    </row>
    <row r="4" spans="2:21" ht="32.25" customHeight="1">
      <c r="C4" s="25" t="s">
        <v>4</v>
      </c>
      <c r="D4" s="26"/>
      <c r="E4" s="9"/>
      <c r="G4" s="27" t="s">
        <v>5</v>
      </c>
      <c r="H4" s="28"/>
      <c r="I4" s="9"/>
      <c r="K4" s="27" t="s">
        <v>19</v>
      </c>
      <c r="L4" s="28"/>
      <c r="N4" s="10"/>
      <c r="O4" s="10"/>
      <c r="S4" s="10"/>
      <c r="T4" s="10"/>
      <c r="U4" s="10"/>
    </row>
    <row r="5" spans="2:21" ht="49.5" customHeight="1">
      <c r="C5" s="29">
        <v>323374</v>
      </c>
      <c r="D5" s="30"/>
      <c r="G5" s="31">
        <v>8.1</v>
      </c>
      <c r="H5" s="32"/>
      <c r="K5" s="33">
        <v>0.749</v>
      </c>
      <c r="L5" s="34"/>
      <c r="M5" s="9"/>
      <c r="N5" s="10"/>
      <c r="O5" s="10"/>
      <c r="P5" s="10"/>
      <c r="Q5" s="10"/>
      <c r="R5" s="10"/>
      <c r="S5" s="10"/>
      <c r="T5" s="10"/>
      <c r="U5" s="10"/>
    </row>
    <row r="6" spans="2:21" ht="6.75" customHeight="1">
      <c r="B6" s="11"/>
      <c r="C6" s="11"/>
      <c r="D6" s="10"/>
      <c r="E6" s="11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2:2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2:21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2:21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2:21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2:21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2:21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2:21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2:21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2:21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ht="10.5" customHeight="1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ht="17.25" customHeight="1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ht="18.75" customHeight="1">
      <c r="B22" s="24" t="s">
        <v>20</v>
      </c>
      <c r="C22" s="24"/>
      <c r="D22" s="24"/>
      <c r="E22" s="24"/>
      <c r="F22" s="24"/>
      <c r="G22" s="24"/>
      <c r="H22" s="24"/>
      <c r="I22" s="24"/>
      <c r="J22" s="10"/>
      <c r="K22" s="10"/>
      <c r="L22" s="10"/>
      <c r="M22" s="10"/>
      <c r="N22" s="10"/>
      <c r="O22" s="13"/>
      <c r="P22" s="13"/>
      <c r="Q22" s="13"/>
      <c r="R22" s="13"/>
      <c r="S22" s="10"/>
      <c r="T22" s="10"/>
      <c r="U22" s="10"/>
    </row>
    <row r="23" spans="1:21" ht="30" customHeight="1">
      <c r="B23" s="21" t="s">
        <v>6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3"/>
      <c r="N23" s="13"/>
      <c r="O23" s="12"/>
      <c r="P23" s="12"/>
      <c r="Q23" s="12"/>
      <c r="R23" s="12"/>
      <c r="S23" s="10"/>
      <c r="T23" s="10"/>
      <c r="U23" s="10"/>
    </row>
    <row r="24" spans="1:21" ht="20.25" customHeight="1">
      <c r="B24" s="102" t="s">
        <v>21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4"/>
      <c r="N24" s="12"/>
      <c r="O24" s="12"/>
      <c r="P24" s="12"/>
      <c r="Q24" s="12"/>
      <c r="R24" s="12"/>
      <c r="S24" s="10"/>
      <c r="T24" s="10"/>
      <c r="U24" s="10"/>
    </row>
    <row r="25" spans="1:21" ht="20.25" customHeight="1">
      <c r="B25" s="105" t="s">
        <v>22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12"/>
      <c r="O25" s="12"/>
      <c r="P25" s="12"/>
      <c r="Q25" s="12"/>
      <c r="R25" s="12"/>
      <c r="S25" s="10"/>
      <c r="T25" s="10"/>
      <c r="U25" s="10"/>
    </row>
    <row r="26" spans="1:21" ht="20.25" customHeight="1">
      <c r="B26" s="105" t="s">
        <v>23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  <c r="N26" s="12"/>
      <c r="O26" s="10"/>
      <c r="P26" s="10"/>
      <c r="Q26" s="10"/>
      <c r="R26" s="10"/>
      <c r="S26" s="10"/>
      <c r="T26" s="10"/>
      <c r="U26" s="10"/>
    </row>
    <row r="27" spans="1:21" ht="20.25" customHeight="1">
      <c r="B27" s="106" t="s">
        <v>24</v>
      </c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8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10"/>
      <c r="S28" s="10"/>
      <c r="T28" s="10"/>
      <c r="U28" s="10"/>
    </row>
    <row r="29" spans="1:21">
      <c r="S29" s="10"/>
      <c r="T29" s="10"/>
      <c r="U29" s="10"/>
    </row>
    <row r="30" spans="1:21">
      <c r="S30" s="10"/>
      <c r="T30" s="10"/>
      <c r="U30" s="10"/>
    </row>
    <row r="31" spans="1:21"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</sheetData>
  <mergeCells count="10">
    <mergeCell ref="B23:M23"/>
    <mergeCell ref="B24:M24"/>
    <mergeCell ref="B27:M27"/>
    <mergeCell ref="B22:I22"/>
    <mergeCell ref="C4:D4"/>
    <mergeCell ref="G4:H4"/>
    <mergeCell ref="K4:L4"/>
    <mergeCell ref="C5:D5"/>
    <mergeCell ref="G5:H5"/>
    <mergeCell ref="K5:L5"/>
  </mergeCells>
  <printOptions horizontalCentered="1" verticalCentered="1"/>
  <pageMargins left="0.7" right="0.7" top="0.75" bottom="0.75" header="0.3" footer="0.3"/>
  <pageSetup scale="80" fitToWidth="0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7753-1119-4A8D-BFDA-A03B29DAF4A4}">
  <sheetPr>
    <pageSetUpPr fitToPage="1"/>
  </sheetPr>
  <dimension ref="A1:K30"/>
  <sheetViews>
    <sheetView workbookViewId="0">
      <selection activeCell="K6" sqref="K6"/>
    </sheetView>
  </sheetViews>
  <sheetFormatPr defaultRowHeight="15"/>
  <cols>
    <col min="1" max="1" width="22.140625" bestFit="1" customWidth="1"/>
    <col min="2" max="2" width="17.28515625" bestFit="1" customWidth="1"/>
    <col min="3" max="5" width="12" bestFit="1" customWidth="1"/>
    <col min="6" max="6" width="11.85546875" bestFit="1" customWidth="1"/>
    <col min="7" max="7" width="25" bestFit="1" customWidth="1"/>
    <col min="8" max="8" width="22.140625" bestFit="1" customWidth="1"/>
    <col min="9" max="9" width="22.140625" customWidth="1"/>
    <col min="10" max="10" width="27.28515625" bestFit="1" customWidth="1"/>
    <col min="11" max="11" width="27.140625" bestFit="1" customWidth="1"/>
  </cols>
  <sheetData>
    <row r="1" spans="1:11" ht="31.5">
      <c r="A1" s="44" t="s">
        <v>25</v>
      </c>
      <c r="B1" s="10"/>
      <c r="C1" s="10"/>
      <c r="D1" s="10"/>
      <c r="E1" s="10"/>
      <c r="F1" s="10"/>
      <c r="G1" s="10"/>
      <c r="H1" s="10"/>
    </row>
    <row r="2" spans="1:11">
      <c r="A2" s="45" t="s">
        <v>26</v>
      </c>
      <c r="B2" s="10"/>
      <c r="C2" s="10"/>
      <c r="D2" s="10"/>
      <c r="E2" s="10"/>
      <c r="F2" s="10"/>
      <c r="G2" s="10"/>
      <c r="H2" s="10"/>
    </row>
    <row r="3" spans="1:11">
      <c r="A3" s="10"/>
      <c r="B3" s="10"/>
      <c r="C3" s="10"/>
      <c r="D3" s="10"/>
      <c r="E3" s="10"/>
      <c r="F3" s="10"/>
      <c r="G3" s="65"/>
      <c r="H3" s="10"/>
    </row>
    <row r="4" spans="1:11" ht="18.75">
      <c r="A4" s="46" t="s">
        <v>27</v>
      </c>
      <c r="B4" s="10"/>
      <c r="C4" s="10"/>
      <c r="D4" s="10"/>
      <c r="E4" s="10"/>
      <c r="F4" s="10"/>
      <c r="G4" s="46" t="s">
        <v>28</v>
      </c>
      <c r="H4" s="10"/>
      <c r="J4" s="46" t="s">
        <v>29</v>
      </c>
      <c r="K4" s="10"/>
    </row>
    <row r="5" spans="1:11">
      <c r="A5" s="56" t="s">
        <v>30</v>
      </c>
      <c r="B5" s="57" t="s">
        <v>31</v>
      </c>
      <c r="C5" s="57"/>
      <c r="D5" s="57"/>
      <c r="E5" s="58"/>
      <c r="F5" s="10"/>
      <c r="G5" s="48" t="s">
        <v>32</v>
      </c>
      <c r="H5" s="54" t="s">
        <v>33</v>
      </c>
      <c r="J5" s="48" t="s">
        <v>34</v>
      </c>
      <c r="K5" s="49">
        <v>1</v>
      </c>
    </row>
    <row r="6" spans="1:11">
      <c r="A6" s="59" t="s">
        <v>35</v>
      </c>
      <c r="B6" s="60">
        <v>1</v>
      </c>
      <c r="C6" s="60">
        <v>2</v>
      </c>
      <c r="D6" s="60">
        <v>3</v>
      </c>
      <c r="E6" s="61">
        <v>4</v>
      </c>
      <c r="F6" s="10"/>
      <c r="G6" s="52" t="s">
        <v>36</v>
      </c>
      <c r="H6" s="55">
        <f>_xlfn.XLOOKUP(H5,Data_Product!A4:A22,Data_Product!B4:B22,"Not found!")</f>
        <v>5714</v>
      </c>
      <c r="J6" s="50" t="s">
        <v>37</v>
      </c>
      <c r="K6" s="51">
        <f>SUMIFS(Data_Product!C28:C99,Data_Product!A28:A99,K5)</f>
        <v>529362</v>
      </c>
    </row>
    <row r="7" spans="1:11">
      <c r="A7" s="109" t="s">
        <v>38</v>
      </c>
      <c r="B7" s="110">
        <v>8.0757591213574106E-2</v>
      </c>
      <c r="C7" s="110">
        <v>5.6840739158942E-2</v>
      </c>
      <c r="D7" s="110">
        <v>5.5173595260281497E-2</v>
      </c>
      <c r="E7" s="111">
        <v>4.7097927283589601E-2</v>
      </c>
      <c r="F7" s="10"/>
      <c r="G7" s="10"/>
      <c r="H7" s="10"/>
      <c r="J7" s="52" t="s">
        <v>39</v>
      </c>
      <c r="K7" s="53">
        <f>COUNTIFS(Data_Product!A28:A99,K5,Data_Product!D28:D99,"&gt;=5%")</f>
        <v>6</v>
      </c>
    </row>
    <row r="8" spans="1:11">
      <c r="A8" s="109" t="s">
        <v>33</v>
      </c>
      <c r="B8" s="110">
        <v>8.3118924289994395E-4</v>
      </c>
      <c r="C8" s="110">
        <v>4.4663534705220698E-4</v>
      </c>
      <c r="D8" s="110">
        <v>3.67051575697621E-4</v>
      </c>
      <c r="E8" s="111">
        <v>3.5645886886249902E-4</v>
      </c>
      <c r="F8" s="10"/>
      <c r="G8" s="10"/>
      <c r="H8" s="10"/>
    </row>
    <row r="9" spans="1:11">
      <c r="A9" s="109" t="s">
        <v>40</v>
      </c>
      <c r="B9" s="110">
        <v>1.3223465227953601E-5</v>
      </c>
      <c r="C9" s="110">
        <v>2.0301606684191201E-5</v>
      </c>
      <c r="D9" s="110">
        <v>2.3105764657224298E-5</v>
      </c>
      <c r="E9" s="111">
        <v>1.7683077295028701E-5</v>
      </c>
      <c r="F9" s="10"/>
    </row>
    <row r="10" spans="1:11" ht="18.75">
      <c r="A10" s="109" t="s">
        <v>41</v>
      </c>
      <c r="B10" s="110"/>
      <c r="C10" s="110"/>
      <c r="D10" s="110">
        <v>3.3008235224606202E-7</v>
      </c>
      <c r="E10" s="111">
        <v>3.9961756598934802E-7</v>
      </c>
      <c r="F10" s="10"/>
      <c r="G10" s="46" t="s">
        <v>42</v>
      </c>
      <c r="H10" s="10"/>
    </row>
    <row r="11" spans="1:11">
      <c r="A11" s="109" t="s">
        <v>43</v>
      </c>
      <c r="B11" s="110">
        <v>9.2564256595675605E-5</v>
      </c>
      <c r="C11" s="110">
        <v>3.6091745216339901E-5</v>
      </c>
      <c r="D11" s="110">
        <v>2.7066752884177099E-5</v>
      </c>
      <c r="E11" s="111">
        <v>3.4966537024068E-5</v>
      </c>
      <c r="F11" s="10"/>
      <c r="G11" s="48" t="s">
        <v>35</v>
      </c>
      <c r="H11" s="66" t="s">
        <v>44</v>
      </c>
      <c r="I11" s="67" t="s">
        <v>45</v>
      </c>
      <c r="J11" s="67" t="s">
        <v>46</v>
      </c>
      <c r="K11" s="68" t="s">
        <v>47</v>
      </c>
    </row>
    <row r="12" spans="1:11">
      <c r="A12" s="109" t="s">
        <v>48</v>
      </c>
      <c r="B12" s="110">
        <v>1.51125316890899E-5</v>
      </c>
      <c r="C12" s="110">
        <v>1.65420498908225E-5</v>
      </c>
      <c r="D12" s="110">
        <v>1.38634587943346E-5</v>
      </c>
      <c r="E12" s="111">
        <v>2.0680209039948801E-5</v>
      </c>
      <c r="F12" s="10"/>
      <c r="G12" s="69" t="str">
        <f>A7</f>
        <v>Accessories</v>
      </c>
      <c r="H12" s="70">
        <f>B7</f>
        <v>8.0757591213574106E-2</v>
      </c>
      <c r="I12" s="71">
        <f>E7</f>
        <v>4.7097927283589601E-2</v>
      </c>
      <c r="J12" s="71">
        <f>E7-B7</f>
        <v>-3.3659663929984505E-2</v>
      </c>
      <c r="K12" s="72" t="str">
        <f>IF(J12&gt;0.5%,"Higher in Q4",IF(J12&lt;-0.5%,"Lower in Q4","No meaningful change"))</f>
        <v>Lower in Q4</v>
      </c>
    </row>
    <row r="13" spans="1:11">
      <c r="A13" s="109" t="s">
        <v>49</v>
      </c>
      <c r="B13" s="110">
        <v>8.5261125656922898E-2</v>
      </c>
      <c r="C13" s="110">
        <v>9.1600849359070799E-2</v>
      </c>
      <c r="D13" s="110">
        <v>9.9700714331218507E-2</v>
      </c>
      <c r="E13" s="111">
        <v>0.129327533550392</v>
      </c>
      <c r="F13" s="10"/>
      <c r="G13" s="69" t="str">
        <f>A8</f>
        <v>Bags</v>
      </c>
      <c r="H13" s="70">
        <f>B8</f>
        <v>8.3118924289994395E-4</v>
      </c>
      <c r="I13" s="71">
        <f>E8</f>
        <v>3.5645886886249902E-4</v>
      </c>
      <c r="J13" s="71">
        <f>E8-B8</f>
        <v>-4.7473037403744493E-4</v>
      </c>
      <c r="K13" s="72" t="str">
        <f t="shared" ref="K13:K30" si="0">IF(J13&gt;0.5%,"Higher in Q4",IF(J13&lt;-0.5%,"Lower in Q4","No meaningful change"))</f>
        <v>No meaningful change</v>
      </c>
    </row>
    <row r="14" spans="1:11">
      <c r="A14" s="109" t="s">
        <v>50</v>
      </c>
      <c r="B14" s="110">
        <v>0.17826364567158201</v>
      </c>
      <c r="C14" s="110">
        <v>0.20266191659197699</v>
      </c>
      <c r="D14" s="110">
        <v>0.21035092045114301</v>
      </c>
      <c r="E14" s="111">
        <v>0.22496370972978899</v>
      </c>
      <c r="F14" s="10"/>
      <c r="G14" s="69" t="str">
        <f>A9</f>
        <v>Cosmetic</v>
      </c>
      <c r="H14" s="70">
        <f>B9</f>
        <v>1.3223465227953601E-5</v>
      </c>
      <c r="I14" s="71">
        <f>E9</f>
        <v>1.7683077295028701E-5</v>
      </c>
      <c r="J14" s="71">
        <f>E9-B9</f>
        <v>4.4596120670751008E-6</v>
      </c>
      <c r="K14" s="72" t="str">
        <f t="shared" si="0"/>
        <v>No meaningful change</v>
      </c>
    </row>
    <row r="15" spans="1:11">
      <c r="A15" s="109" t="s">
        <v>51</v>
      </c>
      <c r="B15" s="110">
        <v>0.38621963797930298</v>
      </c>
      <c r="C15" s="110">
        <v>0.38584406561479301</v>
      </c>
      <c r="D15" s="110">
        <v>0.386873681114701</v>
      </c>
      <c r="E15" s="111">
        <v>0.38608871310156201</v>
      </c>
      <c r="F15" s="10"/>
      <c r="G15" s="69" t="str">
        <f>A10</f>
        <v>Fun</v>
      </c>
      <c r="H15" s="70">
        <f>B10</f>
        <v>0</v>
      </c>
      <c r="I15" s="71">
        <f>E10</f>
        <v>3.9961756598934802E-7</v>
      </c>
      <c r="J15" s="71">
        <f>E10-B10</f>
        <v>3.9961756598934802E-7</v>
      </c>
      <c r="K15" s="72" t="str">
        <f t="shared" si="0"/>
        <v>No meaningful change</v>
      </c>
    </row>
    <row r="16" spans="1:11">
      <c r="A16" s="109" t="s">
        <v>52</v>
      </c>
      <c r="B16" s="110"/>
      <c r="C16" s="110"/>
      <c r="D16" s="110">
        <v>6.6016470449212405E-7</v>
      </c>
      <c r="E16" s="111">
        <v>1.8981834384494001E-6</v>
      </c>
      <c r="F16" s="10"/>
      <c r="G16" s="69" t="str">
        <f>A11</f>
        <v>Furniture</v>
      </c>
      <c r="H16" s="70">
        <f>B11</f>
        <v>9.2564256595675605E-5</v>
      </c>
      <c r="I16" s="71">
        <f>E11</f>
        <v>3.4966537024068E-5</v>
      </c>
      <c r="J16" s="71">
        <f>E11-B11</f>
        <v>-5.7597719571607605E-5</v>
      </c>
      <c r="K16" s="72" t="str">
        <f t="shared" si="0"/>
        <v>No meaningful change</v>
      </c>
    </row>
    <row r="17" spans="1:11">
      <c r="A17" s="109" t="s">
        <v>53</v>
      </c>
      <c r="B17" s="110">
        <v>5.2138234327360098E-4</v>
      </c>
      <c r="C17" s="110">
        <v>3.5415024993533601E-4</v>
      </c>
      <c r="D17" s="110">
        <v>3.5384828160777798E-4</v>
      </c>
      <c r="E17" s="111">
        <v>2.3667350345719099E-4</v>
      </c>
      <c r="F17" s="10"/>
      <c r="G17" s="69" t="str">
        <f>A12</f>
        <v>Garment and Shoe care</v>
      </c>
      <c r="H17" s="70">
        <f>B12</f>
        <v>1.51125316890899E-5</v>
      </c>
      <c r="I17" s="71">
        <f>E12</f>
        <v>2.0680209039948801E-5</v>
      </c>
      <c r="J17" s="71">
        <f>E12-B12</f>
        <v>5.5676773508589019E-6</v>
      </c>
      <c r="K17" s="72" t="str">
        <f t="shared" si="0"/>
        <v>No meaningful change</v>
      </c>
    </row>
    <row r="18" spans="1:11">
      <c r="A18" s="109" t="s">
        <v>54</v>
      </c>
      <c r="B18" s="110">
        <v>1.53089946010481E-2</v>
      </c>
      <c r="C18" s="110">
        <v>1.2462178858658701E-2</v>
      </c>
      <c r="D18" s="110">
        <v>1.15033699757753E-2</v>
      </c>
      <c r="E18" s="111">
        <v>1.19152970607129E-2</v>
      </c>
      <c r="F18" s="10"/>
      <c r="G18" s="69" t="str">
        <f>A13</f>
        <v>Garment Full body</v>
      </c>
      <c r="H18" s="70">
        <f>B13</f>
        <v>8.5261125656922898E-2</v>
      </c>
      <c r="I18" s="71">
        <f>E13</f>
        <v>0.129327533550392</v>
      </c>
      <c r="J18" s="71">
        <f>E13-B13</f>
        <v>4.4066407893469106E-2</v>
      </c>
      <c r="K18" s="72" t="str">
        <f t="shared" si="0"/>
        <v>Higher in Q4</v>
      </c>
    </row>
    <row r="19" spans="1:11">
      <c r="A19" s="109" t="s">
        <v>55</v>
      </c>
      <c r="B19" s="110">
        <v>1.9457384549703201E-2</v>
      </c>
      <c r="C19" s="110">
        <v>1.6975150833418599E-2</v>
      </c>
      <c r="D19" s="110">
        <v>1.7659405845164299E-2</v>
      </c>
      <c r="E19" s="111">
        <v>2.32523475034392E-2</v>
      </c>
      <c r="F19" s="10"/>
      <c r="G19" s="69" t="str">
        <f>A14</f>
        <v>Garment Lower body</v>
      </c>
      <c r="H19" s="70">
        <f>B14</f>
        <v>0.17826364567158201</v>
      </c>
      <c r="I19" s="71">
        <f>E14</f>
        <v>0.22496370972978899</v>
      </c>
      <c r="J19" s="71">
        <f>E14-B14</f>
        <v>4.670006405820698E-2</v>
      </c>
      <c r="K19" s="72" t="str">
        <f t="shared" si="0"/>
        <v>Higher in Q4</v>
      </c>
    </row>
    <row r="20" spans="1:11">
      <c r="A20" s="109" t="s">
        <v>56</v>
      </c>
      <c r="B20" s="110">
        <v>4.1004076605423101E-2</v>
      </c>
      <c r="C20" s="110">
        <v>3.0674223877095601E-2</v>
      </c>
      <c r="D20" s="110">
        <v>2.8186722305348001E-2</v>
      </c>
      <c r="E20" s="111">
        <v>1.8622378383886602E-2</v>
      </c>
      <c r="F20" s="10"/>
      <c r="G20" s="69" t="str">
        <f>A15</f>
        <v>Garment Upper body</v>
      </c>
      <c r="H20" s="70">
        <f>B15</f>
        <v>0.38621963797930298</v>
      </c>
      <c r="I20" s="71">
        <f>E15</f>
        <v>0.38608871310156201</v>
      </c>
      <c r="J20" s="71">
        <f>E15-B15</f>
        <v>-1.3092487774096773E-4</v>
      </c>
      <c r="K20" s="72" t="str">
        <f t="shared" si="0"/>
        <v>No meaningful change</v>
      </c>
    </row>
    <row r="21" spans="1:11">
      <c r="A21" s="109" t="s">
        <v>57</v>
      </c>
      <c r="B21" s="110">
        <v>3.7781329222724701E-5</v>
      </c>
      <c r="C21" s="110">
        <v>1.2782493097453699E-5</v>
      </c>
      <c r="D21" s="110">
        <v>1.6174035260057001E-5</v>
      </c>
      <c r="E21" s="111">
        <v>1.42863279841192E-5</v>
      </c>
      <c r="F21" s="10"/>
      <c r="G21" s="69" t="str">
        <f>A16</f>
        <v>Interior textile</v>
      </c>
      <c r="H21" s="70">
        <f>B16</f>
        <v>0</v>
      </c>
      <c r="I21" s="71">
        <f>E16</f>
        <v>1.8981834384494001E-6</v>
      </c>
      <c r="J21" s="71">
        <f>E16-B16</f>
        <v>1.8981834384494001E-6</v>
      </c>
      <c r="K21" s="72" t="str">
        <f t="shared" si="0"/>
        <v>No meaningful change</v>
      </c>
    </row>
    <row r="22" spans="1:11">
      <c r="A22" s="109" t="s">
        <v>58</v>
      </c>
      <c r="B22" s="110">
        <v>7.9006426604100802E-2</v>
      </c>
      <c r="C22" s="110">
        <v>8.8069121707380196E-2</v>
      </c>
      <c r="D22" s="110">
        <v>8.4696490927521503E-2</v>
      </c>
      <c r="E22" s="111">
        <v>7.2821210101932404E-2</v>
      </c>
      <c r="F22" s="10"/>
      <c r="G22" s="69" t="str">
        <f>A17</f>
        <v>Items</v>
      </c>
      <c r="H22" s="70">
        <f>B17</f>
        <v>5.2138234327360098E-4</v>
      </c>
      <c r="I22" s="71">
        <f>E17</f>
        <v>2.3667350345719099E-4</v>
      </c>
      <c r="J22" s="71">
        <f>E17-B17</f>
        <v>-2.8470883981640999E-4</v>
      </c>
      <c r="K22" s="72" t="str">
        <f t="shared" si="0"/>
        <v>No meaningful change</v>
      </c>
    </row>
    <row r="23" spans="1:11">
      <c r="A23" s="109" t="s">
        <v>59</v>
      </c>
      <c r="B23" s="110">
        <v>0.107771241607822</v>
      </c>
      <c r="C23" s="110">
        <v>0.108176735261034</v>
      </c>
      <c r="D23" s="110">
        <v>9.9612912425521005E-2</v>
      </c>
      <c r="E23" s="111">
        <v>8.0186461556290597E-2</v>
      </c>
      <c r="F23" s="10"/>
      <c r="G23" s="69" t="str">
        <f>A18</f>
        <v>Nightwear</v>
      </c>
      <c r="H23" s="70">
        <f>B18</f>
        <v>1.53089946010481E-2</v>
      </c>
      <c r="I23" s="71">
        <f>E18</f>
        <v>1.19152970607129E-2</v>
      </c>
      <c r="J23" s="71">
        <f>E18-B18</f>
        <v>-3.3936975403351995E-3</v>
      </c>
      <c r="K23" s="72" t="str">
        <f t="shared" si="0"/>
        <v>No meaningful change</v>
      </c>
    </row>
    <row r="24" spans="1:11">
      <c r="A24" s="109" t="s">
        <v>60</v>
      </c>
      <c r="B24" s="110">
        <v>3.7781329222724698E-6</v>
      </c>
      <c r="C24" s="110">
        <v>8.2710249454112297E-6</v>
      </c>
      <c r="D24" s="110">
        <v>8.9122235106436704E-6</v>
      </c>
      <c r="E24" s="111">
        <v>1.0789674281712399E-5</v>
      </c>
      <c r="F24" s="10"/>
      <c r="G24" s="69" t="str">
        <f>A19</f>
        <v>Shoes</v>
      </c>
      <c r="H24" s="70">
        <f>B19</f>
        <v>1.9457384549703201E-2</v>
      </c>
      <c r="I24" s="71">
        <f>E19</f>
        <v>2.32523475034392E-2</v>
      </c>
      <c r="J24" s="71">
        <f>E19-B19</f>
        <v>3.7949629537359988E-3</v>
      </c>
      <c r="K24" s="72" t="str">
        <f t="shared" si="0"/>
        <v>No meaningful change</v>
      </c>
    </row>
    <row r="25" spans="1:11">
      <c r="A25" s="109" t="s">
        <v>61</v>
      </c>
      <c r="B25" s="110">
        <v>5.4348442086889501E-3</v>
      </c>
      <c r="C25" s="110">
        <v>5.8002442208093001E-3</v>
      </c>
      <c r="D25" s="110">
        <v>5.4311750238567004E-3</v>
      </c>
      <c r="E25" s="111">
        <v>5.0305857294569104E-3</v>
      </c>
      <c r="F25" s="10"/>
      <c r="G25" s="69" t="str">
        <f>A20</f>
        <v>Socks &amp; Tights</v>
      </c>
      <c r="H25" s="70">
        <f>B20</f>
        <v>4.1004076605423101E-2</v>
      </c>
      <c r="I25" s="71">
        <f>E20</f>
        <v>1.8622378383886602E-2</v>
      </c>
      <c r="J25" s="71">
        <f>E20-B20</f>
        <v>-2.2381698221536499E-2</v>
      </c>
      <c r="K25" s="72" t="str">
        <f t="shared" si="0"/>
        <v>Lower in Q4</v>
      </c>
    </row>
    <row r="26" spans="1:11">
      <c r="A26" s="62" t="s">
        <v>62</v>
      </c>
      <c r="B26" s="63">
        <v>0.99999999999999944</v>
      </c>
      <c r="C26" s="63">
        <v>1.0000000000000011</v>
      </c>
      <c r="D26" s="63">
        <v>0.99999999999999944</v>
      </c>
      <c r="E26" s="64">
        <v>1.0000000000000002</v>
      </c>
      <c r="F26" s="10"/>
      <c r="G26" s="69" t="str">
        <f>A21</f>
        <v>Stationery</v>
      </c>
      <c r="H26" s="70">
        <f>B21</f>
        <v>3.7781329222724701E-5</v>
      </c>
      <c r="I26" s="71">
        <f>E21</f>
        <v>1.42863279841192E-5</v>
      </c>
      <c r="J26" s="71">
        <f>E21-B21</f>
        <v>-2.3495001238605502E-5</v>
      </c>
      <c r="K26" s="72" t="str">
        <f t="shared" si="0"/>
        <v>No meaningful change</v>
      </c>
    </row>
    <row r="27" spans="1:11">
      <c r="A27" s="47" t="s">
        <v>63</v>
      </c>
      <c r="B27" s="10"/>
      <c r="C27" s="10"/>
      <c r="D27" s="10"/>
      <c r="E27" s="10"/>
      <c r="F27" s="10"/>
      <c r="G27" s="69" t="str">
        <f>A22</f>
        <v>Swimwear</v>
      </c>
      <c r="H27" s="70">
        <f>B22</f>
        <v>7.9006426604100802E-2</v>
      </c>
      <c r="I27" s="71">
        <f>E22</f>
        <v>7.2821210101932404E-2</v>
      </c>
      <c r="J27" s="71">
        <f>E22-B22</f>
        <v>-6.1852165021683975E-3</v>
      </c>
      <c r="K27" s="72" t="str">
        <f t="shared" si="0"/>
        <v>Lower in Q4</v>
      </c>
    </row>
    <row r="28" spans="1:11">
      <c r="A28" s="10"/>
      <c r="B28" s="10"/>
      <c r="C28" s="10"/>
      <c r="D28" s="10"/>
      <c r="E28" s="10"/>
      <c r="F28" s="10"/>
      <c r="G28" s="69" t="str">
        <f>A23</f>
        <v>Underwear</v>
      </c>
      <c r="H28" s="70">
        <f>B23</f>
        <v>0.107771241607822</v>
      </c>
      <c r="I28" s="71">
        <f>E23</f>
        <v>8.0186461556290597E-2</v>
      </c>
      <c r="J28" s="71">
        <f>E23-B23</f>
        <v>-2.7584780051531407E-2</v>
      </c>
      <c r="K28" s="72" t="str">
        <f t="shared" si="0"/>
        <v>Lower in Q4</v>
      </c>
    </row>
    <row r="29" spans="1:11">
      <c r="G29" s="69" t="str">
        <f>A24</f>
        <v>Underwear/nightwear</v>
      </c>
      <c r="H29" s="70">
        <f>B24</f>
        <v>3.7781329222724698E-6</v>
      </c>
      <c r="I29" s="71">
        <f>E24</f>
        <v>1.0789674281712399E-5</v>
      </c>
      <c r="J29" s="71">
        <f>E24-B24</f>
        <v>7.0115413594399298E-6</v>
      </c>
      <c r="K29" s="72" t="str">
        <f t="shared" si="0"/>
        <v>No meaningful change</v>
      </c>
    </row>
    <row r="30" spans="1:11">
      <c r="G30" s="73" t="str">
        <f>A25</f>
        <v>Unknown</v>
      </c>
      <c r="H30" s="74">
        <f>B25</f>
        <v>5.4348442086889501E-3</v>
      </c>
      <c r="I30" s="75">
        <f>E25</f>
        <v>5.0305857294569104E-3</v>
      </c>
      <c r="J30" s="75">
        <f>E25-B25</f>
        <v>-4.0425847923203969E-4</v>
      </c>
      <c r="K30" s="72" t="str">
        <f t="shared" si="0"/>
        <v>No meaningful change</v>
      </c>
    </row>
  </sheetData>
  <conditionalFormatting sqref="K12:K30">
    <cfRule type="containsText" dxfId="2" priority="3" operator="containsText" text="Higher in Q4">
      <formula>NOT(ISERROR(SEARCH("Higher in Q4",K12)))</formula>
    </cfRule>
  </conditionalFormatting>
  <conditionalFormatting sqref="K12:K30">
    <cfRule type="containsText" dxfId="1" priority="2" operator="containsText" text="Lower in Q4">
      <formula>NOT(ISERROR(SEARCH("Lower in Q4",K12)))</formula>
    </cfRule>
  </conditionalFormatting>
  <conditionalFormatting sqref="K12:K30">
    <cfRule type="containsText" dxfId="0" priority="1" operator="containsText" text="No meaningful change">
      <formula>NOT(ISERROR(SEARCH("No meaningful change",K12)))</formula>
    </cfRule>
  </conditionalFormatting>
  <printOptions horizontalCentered="1" verticalCentered="1"/>
  <pageMargins left="0.25" right="0.25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A2FA-F8A4-4F40-8082-6C2B99EEB058}">
  <dimension ref="A1:C21"/>
  <sheetViews>
    <sheetView workbookViewId="0">
      <selection activeCell="E16" sqref="E16"/>
    </sheetView>
  </sheetViews>
  <sheetFormatPr defaultRowHeight="15"/>
  <cols>
    <col min="1" max="1" width="21.85546875" customWidth="1"/>
    <col min="2" max="2" width="23.42578125" bestFit="1" customWidth="1"/>
    <col min="3" max="3" width="21.7109375" bestFit="1" customWidth="1"/>
  </cols>
  <sheetData>
    <row r="1" spans="1:3" ht="19.5" customHeight="1">
      <c r="A1" s="5" t="s">
        <v>64</v>
      </c>
    </row>
    <row r="3" spans="1:3">
      <c r="A3" s="4" t="s">
        <v>65</v>
      </c>
      <c r="B3" s="4" t="s">
        <v>66</v>
      </c>
      <c r="C3" s="4" t="s">
        <v>67</v>
      </c>
    </row>
    <row r="4" spans="1:3">
      <c r="A4">
        <v>1</v>
      </c>
      <c r="B4">
        <v>225</v>
      </c>
      <c r="C4" s="1">
        <v>4.4010871751548803</v>
      </c>
    </row>
    <row r="7" spans="1:3">
      <c r="A7" s="4" t="s">
        <v>68</v>
      </c>
      <c r="B7" s="4" t="s">
        <v>69</v>
      </c>
    </row>
    <row r="8" spans="1:3">
      <c r="A8" t="s">
        <v>70</v>
      </c>
      <c r="B8" s="2">
        <v>342072</v>
      </c>
    </row>
    <row r="9" spans="1:3">
      <c r="A9" t="s">
        <v>71</v>
      </c>
      <c r="B9" s="2">
        <v>267753</v>
      </c>
    </row>
    <row r="10" spans="1:3">
      <c r="A10" t="s">
        <v>72</v>
      </c>
      <c r="B10" s="2">
        <v>182987</v>
      </c>
    </row>
    <row r="11" spans="1:3">
      <c r="A11" t="s">
        <v>73</v>
      </c>
      <c r="B11" s="2">
        <v>201508</v>
      </c>
    </row>
    <row r="14" spans="1:3" ht="18.75">
      <c r="A14" s="5" t="s">
        <v>74</v>
      </c>
    </row>
    <row r="16" spans="1:3">
      <c r="A16" s="4" t="s">
        <v>75</v>
      </c>
      <c r="B16" s="4" t="s">
        <v>69</v>
      </c>
    </row>
    <row r="17" spans="1:2">
      <c r="A17" t="s">
        <v>76</v>
      </c>
      <c r="B17" s="2">
        <v>250619</v>
      </c>
    </row>
    <row r="18" spans="1:2">
      <c r="A18" t="s">
        <v>77</v>
      </c>
      <c r="B18" s="2">
        <v>149839</v>
      </c>
    </row>
    <row r="19" spans="1:2">
      <c r="A19" t="s">
        <v>78</v>
      </c>
      <c r="B19" s="2">
        <v>124617</v>
      </c>
    </row>
    <row r="20" spans="1:2">
      <c r="A20" t="s">
        <v>79</v>
      </c>
      <c r="B20" s="2">
        <v>217356</v>
      </c>
    </row>
    <row r="21" spans="1:2">
      <c r="A21" t="s">
        <v>80</v>
      </c>
      <c r="B21" s="2">
        <v>251889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6BE9-0FDF-4686-8076-E8DDCC4077B3}">
  <dimension ref="A1:E36"/>
  <sheetViews>
    <sheetView workbookViewId="0">
      <selection activeCell="Q24" sqref="Q24"/>
    </sheetView>
  </sheetViews>
  <sheetFormatPr defaultRowHeight="15"/>
  <cols>
    <col min="1" max="1" width="14.140625" customWidth="1"/>
    <col min="2" max="2" width="19.85546875" bestFit="1" customWidth="1"/>
    <col min="3" max="3" width="20.42578125" bestFit="1" customWidth="1"/>
    <col min="4" max="4" width="12" bestFit="1" customWidth="1"/>
    <col min="5" max="5" width="30.5703125" bestFit="1" customWidth="1"/>
  </cols>
  <sheetData>
    <row r="1" spans="1:5" ht="18.75">
      <c r="A1" s="5" t="s">
        <v>81</v>
      </c>
    </row>
    <row r="3" spans="1:5">
      <c r="A3" s="4" t="s">
        <v>82</v>
      </c>
      <c r="B3" s="4" t="s">
        <v>83</v>
      </c>
      <c r="C3" s="4" t="s">
        <v>5</v>
      </c>
      <c r="D3" s="4" t="s">
        <v>84</v>
      </c>
      <c r="E3" s="4" t="s">
        <v>19</v>
      </c>
    </row>
    <row r="4" spans="1:5">
      <c r="A4" t="s">
        <v>85</v>
      </c>
      <c r="B4" s="2">
        <v>187602</v>
      </c>
      <c r="C4" s="1">
        <v>2.6337672306265398</v>
      </c>
      <c r="D4" s="6">
        <v>0.52437607274975795</v>
      </c>
      <c r="E4" s="3">
        <v>0.15899801238069999</v>
      </c>
    </row>
    <row r="5" spans="1:5">
      <c r="A5" t="s">
        <v>86</v>
      </c>
      <c r="B5" s="2">
        <v>483344</v>
      </c>
      <c r="C5" s="1">
        <v>2.6092906915157701</v>
      </c>
      <c r="D5" s="6">
        <v>0.47838599424012701</v>
      </c>
      <c r="E5" s="3">
        <v>0.30644484445509801</v>
      </c>
    </row>
    <row r="6" spans="1:5">
      <c r="A6" t="s">
        <v>87</v>
      </c>
      <c r="B6" s="2">
        <v>323374</v>
      </c>
      <c r="C6" s="1">
        <v>8.1045600450252593</v>
      </c>
      <c r="D6" s="6">
        <v>0.997758013940515</v>
      </c>
      <c r="E6" s="3">
        <v>0.74942414015445002</v>
      </c>
    </row>
    <row r="9" spans="1:5" ht="18.75">
      <c r="A9" s="5" t="s">
        <v>88</v>
      </c>
    </row>
    <row r="11" spans="1:5">
      <c r="A11" s="4" t="s">
        <v>89</v>
      </c>
      <c r="B11" s="4" t="s">
        <v>90</v>
      </c>
      <c r="C11" s="4" t="s">
        <v>91</v>
      </c>
    </row>
    <row r="12" spans="1:5">
      <c r="A12" s="7" t="s">
        <v>92</v>
      </c>
      <c r="B12" s="2">
        <v>40774</v>
      </c>
      <c r="C12" s="2">
        <v>69850</v>
      </c>
    </row>
    <row r="13" spans="1:5">
      <c r="A13" s="7" t="s">
        <v>93</v>
      </c>
      <c r="B13" s="2">
        <v>125598</v>
      </c>
      <c r="C13" s="2">
        <v>154301</v>
      </c>
    </row>
    <row r="14" spans="1:5">
      <c r="A14" s="7" t="s">
        <v>94</v>
      </c>
      <c r="B14" s="2">
        <v>121696</v>
      </c>
      <c r="C14" s="2">
        <v>177058</v>
      </c>
    </row>
    <row r="15" spans="1:5">
      <c r="A15" s="7" t="s">
        <v>95</v>
      </c>
      <c r="B15" s="2">
        <v>140287</v>
      </c>
      <c r="C15" s="2">
        <v>151868</v>
      </c>
    </row>
    <row r="16" spans="1:5">
      <c r="A16" s="7" t="s">
        <v>96</v>
      </c>
      <c r="B16" s="2">
        <v>107764</v>
      </c>
      <c r="C16" s="2">
        <v>146124</v>
      </c>
    </row>
    <row r="17" spans="1:3">
      <c r="A17" s="7" t="s">
        <v>97</v>
      </c>
      <c r="B17" s="2">
        <v>112037</v>
      </c>
      <c r="C17" s="2">
        <v>136254</v>
      </c>
    </row>
    <row r="18" spans="1:3">
      <c r="A18" s="7" t="s">
        <v>98</v>
      </c>
      <c r="B18" s="2">
        <v>58875</v>
      </c>
      <c r="C18" s="2">
        <v>167726</v>
      </c>
    </row>
    <row r="19" spans="1:3">
      <c r="A19" s="7" t="s">
        <v>99</v>
      </c>
      <c r="B19" s="2">
        <v>0</v>
      </c>
      <c r="C19" s="2">
        <v>228713</v>
      </c>
    </row>
    <row r="20" spans="1:3">
      <c r="A20" s="7" t="s">
        <v>100</v>
      </c>
      <c r="B20" s="2">
        <v>91778</v>
      </c>
      <c r="C20" s="2">
        <v>177660</v>
      </c>
    </row>
    <row r="21" spans="1:3">
      <c r="A21" s="7" t="s">
        <v>101</v>
      </c>
      <c r="B21" s="2">
        <v>140577</v>
      </c>
      <c r="C21" s="2">
        <v>200461</v>
      </c>
    </row>
    <row r="22" spans="1:3">
      <c r="A22" s="7" t="s">
        <v>102</v>
      </c>
      <c r="B22" s="2">
        <v>145757</v>
      </c>
      <c r="C22" s="2">
        <v>152540</v>
      </c>
    </row>
    <row r="23" spans="1:3">
      <c r="A23" s="7" t="s">
        <v>103</v>
      </c>
      <c r="B23" s="2">
        <v>126650</v>
      </c>
      <c r="C23" s="2">
        <v>154670</v>
      </c>
    </row>
    <row r="24" spans="1:3">
      <c r="A24" s="7" t="s">
        <v>104</v>
      </c>
      <c r="B24" s="2">
        <v>87920</v>
      </c>
      <c r="C24" s="2">
        <v>116734</v>
      </c>
    </row>
    <row r="25" spans="1:3">
      <c r="A25" s="7"/>
      <c r="C25" s="2"/>
    </row>
    <row r="26" spans="1:3">
      <c r="A26" s="7"/>
      <c r="C26" s="2"/>
    </row>
    <row r="27" spans="1:3">
      <c r="A27" s="7"/>
      <c r="C27" s="2"/>
    </row>
    <row r="28" spans="1:3">
      <c r="A28" s="7"/>
      <c r="C28" s="2"/>
    </row>
    <row r="29" spans="1:3">
      <c r="A29" s="7"/>
      <c r="C29" s="2"/>
    </row>
    <row r="30" spans="1:3">
      <c r="A30" s="7"/>
      <c r="C30" s="2"/>
    </row>
    <row r="31" spans="1:3">
      <c r="A31" s="7"/>
      <c r="C31" s="2"/>
    </row>
    <row r="32" spans="1:3">
      <c r="A32" s="7"/>
      <c r="C32" s="2"/>
    </row>
    <row r="33" spans="1:3">
      <c r="A33" s="7"/>
      <c r="C33" s="2"/>
    </row>
    <row r="34" spans="1:3">
      <c r="A34" s="7"/>
      <c r="C34" s="2"/>
    </row>
    <row r="35" spans="1:3">
      <c r="A35" s="7"/>
      <c r="C35" s="2"/>
    </row>
    <row r="36" spans="1:3">
      <c r="A36" s="7"/>
      <c r="C3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730E-3405-4B5A-992A-EF559C0649C2}">
  <dimension ref="A1:D99"/>
  <sheetViews>
    <sheetView topLeftCell="A5" workbookViewId="0">
      <selection activeCell="Q23" sqref="Q23"/>
    </sheetView>
  </sheetViews>
  <sheetFormatPr defaultRowHeight="15"/>
  <cols>
    <col min="1" max="1" width="21.28515625" customWidth="1"/>
    <col min="2" max="2" width="22.140625" bestFit="1" customWidth="1"/>
    <col min="3" max="3" width="15" bestFit="1" customWidth="1"/>
    <col min="4" max="4" width="14.7109375" bestFit="1" customWidth="1"/>
  </cols>
  <sheetData>
    <row r="1" spans="1:2" ht="18.75">
      <c r="A1" s="5" t="s">
        <v>105</v>
      </c>
    </row>
    <row r="3" spans="1:2">
      <c r="A3" s="4" t="s">
        <v>35</v>
      </c>
      <c r="B3" s="4" t="s">
        <v>106</v>
      </c>
    </row>
    <row r="4" spans="1:2">
      <c r="A4" t="s">
        <v>51</v>
      </c>
      <c r="B4" s="2">
        <v>5754235</v>
      </c>
    </row>
    <row r="5" spans="1:2">
      <c r="A5" t="s">
        <v>50</v>
      </c>
      <c r="B5" s="2">
        <v>3252953</v>
      </c>
    </row>
    <row r="6" spans="1:2">
      <c r="A6" t="s">
        <v>49</v>
      </c>
      <c r="B6" s="2">
        <v>1763519</v>
      </c>
    </row>
    <row r="7" spans="1:2">
      <c r="A7" t="s">
        <v>59</v>
      </c>
      <c r="B7" s="2">
        <v>1305333</v>
      </c>
    </row>
    <row r="8" spans="1:2">
      <c r="A8" t="s">
        <v>58</v>
      </c>
      <c r="B8" s="2">
        <v>1144451</v>
      </c>
    </row>
    <row r="9" spans="1:2">
      <c r="A9" t="s">
        <v>38</v>
      </c>
      <c r="B9" s="2">
        <v>756926</v>
      </c>
    </row>
    <row r="10" spans="1:2">
      <c r="A10" t="s">
        <v>56</v>
      </c>
      <c r="B10" s="2">
        <v>334296</v>
      </c>
    </row>
    <row r="11" spans="1:2">
      <c r="A11" t="s">
        <v>55</v>
      </c>
      <c r="B11" s="2">
        <v>319122</v>
      </c>
    </row>
    <row r="12" spans="1:2">
      <c r="A12" t="s">
        <v>54</v>
      </c>
      <c r="B12" s="2">
        <v>178795</v>
      </c>
    </row>
    <row r="13" spans="1:2">
      <c r="A13" t="s">
        <v>61</v>
      </c>
      <c r="B13" s="2">
        <v>77399</v>
      </c>
    </row>
    <row r="14" spans="1:2">
      <c r="A14" t="s">
        <v>33</v>
      </c>
      <c r="B14" s="2">
        <v>5714</v>
      </c>
    </row>
    <row r="15" spans="1:2">
      <c r="A15" t="s">
        <v>53</v>
      </c>
      <c r="B15" s="2">
        <v>4188</v>
      </c>
    </row>
    <row r="16" spans="1:2">
      <c r="A16" t="s">
        <v>43</v>
      </c>
      <c r="B16" s="2">
        <v>529</v>
      </c>
    </row>
    <row r="17" spans="1:4">
      <c r="A17" t="s">
        <v>40</v>
      </c>
      <c r="B17" s="2">
        <v>281</v>
      </c>
    </row>
    <row r="18" spans="1:4">
      <c r="A18" t="s">
        <v>48</v>
      </c>
      <c r="B18" s="2">
        <v>279</v>
      </c>
    </row>
    <row r="19" spans="1:4">
      <c r="A19" t="s">
        <v>57</v>
      </c>
      <c r="B19" s="2">
        <v>229</v>
      </c>
    </row>
    <row r="20" spans="1:4">
      <c r="A20" t="s">
        <v>60</v>
      </c>
      <c r="B20" s="2">
        <v>148</v>
      </c>
    </row>
    <row r="21" spans="1:4">
      <c r="A21" t="s">
        <v>52</v>
      </c>
      <c r="B21" s="2">
        <v>21</v>
      </c>
    </row>
    <row r="22" spans="1:4">
      <c r="A22" t="s">
        <v>41</v>
      </c>
      <c r="B22" s="2">
        <v>5</v>
      </c>
    </row>
    <row r="25" spans="1:4" ht="18.75">
      <c r="A25" s="5" t="s">
        <v>107</v>
      </c>
    </row>
    <row r="27" spans="1:4">
      <c r="A27" s="4" t="s">
        <v>31</v>
      </c>
      <c r="B27" s="4" t="s">
        <v>35</v>
      </c>
      <c r="C27" s="4" t="s">
        <v>106</v>
      </c>
      <c r="D27" s="4" t="s">
        <v>108</v>
      </c>
    </row>
    <row r="28" spans="1:4">
      <c r="A28">
        <v>1</v>
      </c>
      <c r="B28" t="s">
        <v>51</v>
      </c>
      <c r="C28" s="2">
        <v>204450</v>
      </c>
      <c r="D28" s="8">
        <v>0.38621963797930298</v>
      </c>
    </row>
    <row r="29" spans="1:4">
      <c r="A29">
        <v>1</v>
      </c>
      <c r="B29" t="s">
        <v>50</v>
      </c>
      <c r="C29" s="2">
        <v>94366</v>
      </c>
      <c r="D29" s="8">
        <v>0.17826364567158201</v>
      </c>
    </row>
    <row r="30" spans="1:4">
      <c r="A30">
        <v>1</v>
      </c>
      <c r="B30" t="s">
        <v>59</v>
      </c>
      <c r="C30" s="2">
        <v>57050</v>
      </c>
      <c r="D30" s="8">
        <v>0.107771241607822</v>
      </c>
    </row>
    <row r="31" spans="1:4">
      <c r="A31">
        <v>1</v>
      </c>
      <c r="B31" t="s">
        <v>49</v>
      </c>
      <c r="C31" s="2">
        <v>45134</v>
      </c>
      <c r="D31" s="8">
        <v>8.5261125656922898E-2</v>
      </c>
    </row>
    <row r="32" spans="1:4">
      <c r="A32">
        <v>1</v>
      </c>
      <c r="B32" t="s">
        <v>38</v>
      </c>
      <c r="C32" s="2">
        <v>42750</v>
      </c>
      <c r="D32" s="8">
        <v>8.0757591213574106E-2</v>
      </c>
    </row>
    <row r="33" spans="1:4">
      <c r="A33">
        <v>1</v>
      </c>
      <c r="B33" t="s">
        <v>58</v>
      </c>
      <c r="C33" s="2">
        <v>41823</v>
      </c>
      <c r="D33" s="8">
        <v>7.9006426604100802E-2</v>
      </c>
    </row>
    <row r="34" spans="1:4">
      <c r="A34">
        <v>1</v>
      </c>
      <c r="B34" t="s">
        <v>56</v>
      </c>
      <c r="C34" s="2">
        <v>21706</v>
      </c>
      <c r="D34" s="8">
        <v>4.1004076605423101E-2</v>
      </c>
    </row>
    <row r="35" spans="1:4">
      <c r="A35">
        <v>1</v>
      </c>
      <c r="B35" t="s">
        <v>55</v>
      </c>
      <c r="C35" s="2">
        <v>10300</v>
      </c>
      <c r="D35" s="8">
        <v>1.9457384549703201E-2</v>
      </c>
    </row>
    <row r="36" spans="1:4">
      <c r="A36">
        <v>1</v>
      </c>
      <c r="B36" t="s">
        <v>54</v>
      </c>
      <c r="C36" s="2">
        <v>8104</v>
      </c>
      <c r="D36" s="8">
        <v>1.53089946010481E-2</v>
      </c>
    </row>
    <row r="37" spans="1:4">
      <c r="A37">
        <v>1</v>
      </c>
      <c r="B37" t="s">
        <v>61</v>
      </c>
      <c r="C37" s="2">
        <v>2877</v>
      </c>
      <c r="D37" s="8">
        <v>5.4348442086889501E-3</v>
      </c>
    </row>
    <row r="38" spans="1:4">
      <c r="A38">
        <v>1</v>
      </c>
      <c r="B38" t="s">
        <v>33</v>
      </c>
      <c r="C38" s="2">
        <v>440</v>
      </c>
      <c r="D38" s="8">
        <v>8.3118924289994395E-4</v>
      </c>
    </row>
    <row r="39" spans="1:4">
      <c r="A39">
        <v>1</v>
      </c>
      <c r="B39" t="s">
        <v>53</v>
      </c>
      <c r="C39" s="2">
        <v>276</v>
      </c>
      <c r="D39" s="8">
        <v>5.2138234327360098E-4</v>
      </c>
    </row>
    <row r="40" spans="1:4">
      <c r="A40">
        <v>1</v>
      </c>
      <c r="B40" t="s">
        <v>43</v>
      </c>
      <c r="C40" s="2">
        <v>49</v>
      </c>
      <c r="D40" s="8">
        <v>9.2564256595675605E-5</v>
      </c>
    </row>
    <row r="41" spans="1:4">
      <c r="A41">
        <v>1</v>
      </c>
      <c r="B41" t="s">
        <v>57</v>
      </c>
      <c r="C41" s="2">
        <v>20</v>
      </c>
      <c r="D41" s="8">
        <v>3.7781329222724701E-5</v>
      </c>
    </row>
    <row r="42" spans="1:4">
      <c r="A42">
        <v>1</v>
      </c>
      <c r="B42" t="s">
        <v>48</v>
      </c>
      <c r="C42" s="2">
        <v>8</v>
      </c>
      <c r="D42" s="8">
        <v>1.51125316890899E-5</v>
      </c>
    </row>
    <row r="43" spans="1:4">
      <c r="A43">
        <v>1</v>
      </c>
      <c r="B43" t="s">
        <v>40</v>
      </c>
      <c r="C43" s="2">
        <v>7</v>
      </c>
      <c r="D43" s="8">
        <v>1.3223465227953601E-5</v>
      </c>
    </row>
    <row r="44" spans="1:4">
      <c r="A44">
        <v>1</v>
      </c>
      <c r="B44" t="s">
        <v>60</v>
      </c>
      <c r="C44" s="2">
        <v>2</v>
      </c>
      <c r="D44" s="8">
        <v>3.7781329222724698E-6</v>
      </c>
    </row>
    <row r="45" spans="1:4">
      <c r="A45">
        <v>2</v>
      </c>
      <c r="B45" t="s">
        <v>51</v>
      </c>
      <c r="C45" s="2">
        <v>513151</v>
      </c>
      <c r="D45" s="8">
        <v>0.38584406561479301</v>
      </c>
    </row>
    <row r="46" spans="1:4">
      <c r="A46">
        <v>2</v>
      </c>
      <c r="B46" t="s">
        <v>50</v>
      </c>
      <c r="C46" s="2">
        <v>269529</v>
      </c>
      <c r="D46" s="8">
        <v>0.20266191659197699</v>
      </c>
    </row>
    <row r="47" spans="1:4">
      <c r="A47">
        <v>2</v>
      </c>
      <c r="B47" t="s">
        <v>59</v>
      </c>
      <c r="C47" s="2">
        <v>143869</v>
      </c>
      <c r="D47" s="8">
        <v>0.108176735261034</v>
      </c>
    </row>
    <row r="48" spans="1:4">
      <c r="A48">
        <v>2</v>
      </c>
      <c r="B48" t="s">
        <v>49</v>
      </c>
      <c r="C48" s="2">
        <v>121824</v>
      </c>
      <c r="D48" s="8">
        <v>9.1600849359070799E-2</v>
      </c>
    </row>
    <row r="49" spans="1:4">
      <c r="A49">
        <v>2</v>
      </c>
      <c r="B49" t="s">
        <v>58</v>
      </c>
      <c r="C49" s="2">
        <v>117127</v>
      </c>
      <c r="D49" s="8">
        <v>8.8069121707380196E-2</v>
      </c>
    </row>
    <row r="50" spans="1:4">
      <c r="A50">
        <v>2</v>
      </c>
      <c r="B50" t="s">
        <v>38</v>
      </c>
      <c r="C50" s="2">
        <v>75595</v>
      </c>
      <c r="D50" s="8">
        <v>5.6840739158942E-2</v>
      </c>
    </row>
    <row r="51" spans="1:4">
      <c r="A51">
        <v>2</v>
      </c>
      <c r="B51" t="s">
        <v>56</v>
      </c>
      <c r="C51" s="2">
        <v>40795</v>
      </c>
      <c r="D51" s="8">
        <v>3.0674223877095601E-2</v>
      </c>
    </row>
    <row r="52" spans="1:4">
      <c r="A52">
        <v>2</v>
      </c>
      <c r="B52" t="s">
        <v>55</v>
      </c>
      <c r="C52" s="2">
        <v>22576</v>
      </c>
      <c r="D52" s="8">
        <v>1.6975150833418599E-2</v>
      </c>
    </row>
    <row r="53" spans="1:4">
      <c r="A53">
        <v>2</v>
      </c>
      <c r="B53" t="s">
        <v>54</v>
      </c>
      <c r="C53" s="2">
        <v>16574</v>
      </c>
      <c r="D53" s="8">
        <v>1.2462178858658701E-2</v>
      </c>
    </row>
    <row r="54" spans="1:4">
      <c r="A54">
        <v>2</v>
      </c>
      <c r="B54" t="s">
        <v>61</v>
      </c>
      <c r="C54" s="2">
        <v>7714</v>
      </c>
      <c r="D54" s="8">
        <v>5.8002442208093001E-3</v>
      </c>
    </row>
    <row r="55" spans="1:4">
      <c r="A55">
        <v>2</v>
      </c>
      <c r="B55" t="s">
        <v>33</v>
      </c>
      <c r="C55" s="2">
        <v>594</v>
      </c>
      <c r="D55" s="8">
        <v>4.4663534705220698E-4</v>
      </c>
    </row>
    <row r="56" spans="1:4">
      <c r="A56">
        <v>2</v>
      </c>
      <c r="B56" t="s">
        <v>53</v>
      </c>
      <c r="C56" s="2">
        <v>471</v>
      </c>
      <c r="D56" s="8">
        <v>3.5415024993533601E-4</v>
      </c>
    </row>
    <row r="57" spans="1:4">
      <c r="A57">
        <v>2</v>
      </c>
      <c r="B57" t="s">
        <v>43</v>
      </c>
      <c r="C57" s="2">
        <v>48</v>
      </c>
      <c r="D57" s="8">
        <v>3.6091745216339901E-5</v>
      </c>
    </row>
    <row r="58" spans="1:4">
      <c r="A58">
        <v>2</v>
      </c>
      <c r="B58" t="s">
        <v>40</v>
      </c>
      <c r="C58" s="2">
        <v>27</v>
      </c>
      <c r="D58" s="8">
        <v>2.0301606684191201E-5</v>
      </c>
    </row>
    <row r="59" spans="1:4">
      <c r="A59">
        <v>2</v>
      </c>
      <c r="B59" t="s">
        <v>48</v>
      </c>
      <c r="C59" s="2">
        <v>22</v>
      </c>
      <c r="D59" s="8">
        <v>1.65420498908225E-5</v>
      </c>
    </row>
    <row r="60" spans="1:4">
      <c r="A60">
        <v>2</v>
      </c>
      <c r="B60" t="s">
        <v>57</v>
      </c>
      <c r="C60" s="2">
        <v>17</v>
      </c>
      <c r="D60" s="8">
        <v>1.2782493097453699E-5</v>
      </c>
    </row>
    <row r="61" spans="1:4">
      <c r="A61">
        <v>2</v>
      </c>
      <c r="B61" t="s">
        <v>60</v>
      </c>
      <c r="C61" s="2">
        <v>11</v>
      </c>
      <c r="D61" s="8">
        <v>8.2710249454112297E-6</v>
      </c>
    </row>
    <row r="62" spans="1:4">
      <c r="A62">
        <v>3</v>
      </c>
      <c r="B62" t="s">
        <v>51</v>
      </c>
      <c r="C62" s="2">
        <v>1172052</v>
      </c>
      <c r="D62" s="8">
        <v>0.386873681114701</v>
      </c>
    </row>
    <row r="63" spans="1:4">
      <c r="A63">
        <v>3</v>
      </c>
      <c r="B63" t="s">
        <v>50</v>
      </c>
      <c r="C63" s="2">
        <v>637268</v>
      </c>
      <c r="D63" s="8">
        <v>0.21035092045114301</v>
      </c>
    </row>
    <row r="64" spans="1:4">
      <c r="A64">
        <v>3</v>
      </c>
      <c r="B64" t="s">
        <v>49</v>
      </c>
      <c r="C64" s="2">
        <v>302048</v>
      </c>
      <c r="D64" s="8">
        <v>9.9700714331218507E-2</v>
      </c>
    </row>
    <row r="65" spans="1:4">
      <c r="A65">
        <v>3</v>
      </c>
      <c r="B65" t="s">
        <v>59</v>
      </c>
      <c r="C65" s="2">
        <v>301782</v>
      </c>
      <c r="D65" s="8">
        <v>9.9612912425521005E-2</v>
      </c>
    </row>
    <row r="66" spans="1:4">
      <c r="A66">
        <v>3</v>
      </c>
      <c r="B66" t="s">
        <v>58</v>
      </c>
      <c r="C66" s="2">
        <v>256592</v>
      </c>
      <c r="D66" s="8">
        <v>8.4696490927521503E-2</v>
      </c>
    </row>
    <row r="67" spans="1:4">
      <c r="A67">
        <v>3</v>
      </c>
      <c r="B67" t="s">
        <v>38</v>
      </c>
      <c r="C67" s="2">
        <v>167151</v>
      </c>
      <c r="D67" s="8">
        <v>5.5173595260281497E-2</v>
      </c>
    </row>
    <row r="68" spans="1:4">
      <c r="A68">
        <v>3</v>
      </c>
      <c r="B68" t="s">
        <v>56</v>
      </c>
      <c r="C68" s="2">
        <v>85393</v>
      </c>
      <c r="D68" s="8">
        <v>2.8186722305348001E-2</v>
      </c>
    </row>
    <row r="69" spans="1:4">
      <c r="A69">
        <v>3</v>
      </c>
      <c r="B69" t="s">
        <v>55</v>
      </c>
      <c r="C69" s="2">
        <v>53500</v>
      </c>
      <c r="D69" s="8">
        <v>1.7659405845164299E-2</v>
      </c>
    </row>
    <row r="70" spans="1:4">
      <c r="A70">
        <v>3</v>
      </c>
      <c r="B70" t="s">
        <v>54</v>
      </c>
      <c r="C70" s="2">
        <v>34850</v>
      </c>
      <c r="D70" s="8">
        <v>1.15033699757753E-2</v>
      </c>
    </row>
    <row r="71" spans="1:4">
      <c r="A71">
        <v>3</v>
      </c>
      <c r="B71" t="s">
        <v>61</v>
      </c>
      <c r="C71" s="2">
        <v>16454</v>
      </c>
      <c r="D71" s="8">
        <v>5.4311750238567004E-3</v>
      </c>
    </row>
    <row r="72" spans="1:4">
      <c r="A72">
        <v>3</v>
      </c>
      <c r="B72" t="s">
        <v>33</v>
      </c>
      <c r="C72" s="2">
        <v>1112</v>
      </c>
      <c r="D72" s="8">
        <v>3.67051575697621E-4</v>
      </c>
    </row>
    <row r="73" spans="1:4">
      <c r="A73">
        <v>3</v>
      </c>
      <c r="B73" t="s">
        <v>53</v>
      </c>
      <c r="C73" s="2">
        <v>1072</v>
      </c>
      <c r="D73" s="8">
        <v>3.5384828160777798E-4</v>
      </c>
    </row>
    <row r="74" spans="1:4">
      <c r="A74">
        <v>3</v>
      </c>
      <c r="B74" t="s">
        <v>43</v>
      </c>
      <c r="C74" s="2">
        <v>82</v>
      </c>
      <c r="D74" s="8">
        <v>2.7066752884177099E-5</v>
      </c>
    </row>
    <row r="75" spans="1:4">
      <c r="A75">
        <v>3</v>
      </c>
      <c r="B75" t="s">
        <v>40</v>
      </c>
      <c r="C75" s="2">
        <v>70</v>
      </c>
      <c r="D75" s="8">
        <v>2.3105764657224298E-5</v>
      </c>
    </row>
    <row r="76" spans="1:4">
      <c r="A76">
        <v>3</v>
      </c>
      <c r="B76" t="s">
        <v>57</v>
      </c>
      <c r="C76" s="2">
        <v>49</v>
      </c>
      <c r="D76" s="8">
        <v>1.6174035260057001E-5</v>
      </c>
    </row>
    <row r="77" spans="1:4">
      <c r="A77">
        <v>3</v>
      </c>
      <c r="B77" t="s">
        <v>48</v>
      </c>
      <c r="C77" s="2">
        <v>42</v>
      </c>
      <c r="D77" s="8">
        <v>1.38634587943346E-5</v>
      </c>
    </row>
    <row r="78" spans="1:4">
      <c r="A78">
        <v>3</v>
      </c>
      <c r="B78" t="s">
        <v>60</v>
      </c>
      <c r="C78" s="2">
        <v>27</v>
      </c>
      <c r="D78" s="8">
        <v>8.9122235106436704E-6</v>
      </c>
    </row>
    <row r="79" spans="1:4">
      <c r="A79">
        <v>3</v>
      </c>
      <c r="B79" t="s">
        <v>52</v>
      </c>
      <c r="C79" s="2">
        <v>2</v>
      </c>
      <c r="D79" s="8">
        <v>6.6016470449212405E-7</v>
      </c>
    </row>
    <row r="80" spans="1:4">
      <c r="A80">
        <v>3</v>
      </c>
      <c r="B80" t="s">
        <v>41</v>
      </c>
      <c r="C80" s="2">
        <v>1</v>
      </c>
      <c r="D80" s="8">
        <v>3.3008235224606202E-7</v>
      </c>
    </row>
    <row r="81" spans="1:4">
      <c r="A81">
        <v>4</v>
      </c>
      <c r="B81" t="s">
        <v>51</v>
      </c>
      <c r="C81" s="2">
        <v>3864582</v>
      </c>
      <c r="D81" s="8">
        <v>0.38608871310156201</v>
      </c>
    </row>
    <row r="82" spans="1:4">
      <c r="A82">
        <v>4</v>
      </c>
      <c r="B82" t="s">
        <v>50</v>
      </c>
      <c r="C82" s="2">
        <v>2251790</v>
      </c>
      <c r="D82" s="8">
        <v>0.22496370972978899</v>
      </c>
    </row>
    <row r="83" spans="1:4">
      <c r="A83">
        <v>4</v>
      </c>
      <c r="B83" t="s">
        <v>49</v>
      </c>
      <c r="C83" s="2">
        <v>1294513</v>
      </c>
      <c r="D83" s="8">
        <v>0.129327533550392</v>
      </c>
    </row>
    <row r="84" spans="1:4">
      <c r="A84">
        <v>4</v>
      </c>
      <c r="B84" t="s">
        <v>59</v>
      </c>
      <c r="C84" s="2">
        <v>802632</v>
      </c>
      <c r="D84" s="8">
        <v>8.0186461556290597E-2</v>
      </c>
    </row>
    <row r="85" spans="1:4">
      <c r="A85">
        <v>4</v>
      </c>
      <c r="B85" t="s">
        <v>58</v>
      </c>
      <c r="C85" s="2">
        <v>728909</v>
      </c>
      <c r="D85" s="8">
        <v>7.2821210101932404E-2</v>
      </c>
    </row>
    <row r="86" spans="1:4">
      <c r="A86">
        <v>4</v>
      </c>
      <c r="B86" t="s">
        <v>38</v>
      </c>
      <c r="C86" s="2">
        <v>471430</v>
      </c>
      <c r="D86" s="8">
        <v>4.7097927283589601E-2</v>
      </c>
    </row>
    <row r="87" spans="1:4">
      <c r="A87">
        <v>4</v>
      </c>
      <c r="B87" t="s">
        <v>55</v>
      </c>
      <c r="C87" s="2">
        <v>232746</v>
      </c>
      <c r="D87" s="8">
        <v>2.32523475034392E-2</v>
      </c>
    </row>
    <row r="88" spans="1:4">
      <c r="A88">
        <v>4</v>
      </c>
      <c r="B88" t="s">
        <v>56</v>
      </c>
      <c r="C88" s="2">
        <v>186402</v>
      </c>
      <c r="D88" s="8">
        <v>1.8622378383886602E-2</v>
      </c>
    </row>
    <row r="89" spans="1:4">
      <c r="A89">
        <v>4</v>
      </c>
      <c r="B89" t="s">
        <v>54</v>
      </c>
      <c r="C89" s="2">
        <v>119267</v>
      </c>
      <c r="D89" s="8">
        <v>1.19152970607129E-2</v>
      </c>
    </row>
    <row r="90" spans="1:4">
      <c r="A90">
        <v>4</v>
      </c>
      <c r="B90" t="s">
        <v>61</v>
      </c>
      <c r="C90" s="2">
        <v>50354</v>
      </c>
      <c r="D90" s="8">
        <v>5.0305857294569104E-3</v>
      </c>
    </row>
    <row r="91" spans="1:4">
      <c r="A91">
        <v>4</v>
      </c>
      <c r="B91" t="s">
        <v>33</v>
      </c>
      <c r="C91" s="2">
        <v>3568</v>
      </c>
      <c r="D91" s="8">
        <v>3.5645886886249902E-4</v>
      </c>
    </row>
    <row r="92" spans="1:4">
      <c r="A92">
        <v>4</v>
      </c>
      <c r="B92" t="s">
        <v>53</v>
      </c>
      <c r="C92" s="2">
        <v>2369</v>
      </c>
      <c r="D92" s="8">
        <v>2.3667350345719099E-4</v>
      </c>
    </row>
    <row r="93" spans="1:4">
      <c r="A93">
        <v>4</v>
      </c>
      <c r="B93" t="s">
        <v>43</v>
      </c>
      <c r="C93" s="2">
        <v>350</v>
      </c>
      <c r="D93" s="8">
        <v>3.4966537024068E-5</v>
      </c>
    </row>
    <row r="94" spans="1:4">
      <c r="A94">
        <v>4</v>
      </c>
      <c r="B94" t="s">
        <v>48</v>
      </c>
      <c r="C94" s="2">
        <v>207</v>
      </c>
      <c r="D94" s="8">
        <v>2.0680209039948801E-5</v>
      </c>
    </row>
    <row r="95" spans="1:4">
      <c r="A95">
        <v>4</v>
      </c>
      <c r="B95" t="s">
        <v>40</v>
      </c>
      <c r="C95" s="2">
        <v>177</v>
      </c>
      <c r="D95" s="8">
        <v>1.7683077295028701E-5</v>
      </c>
    </row>
    <row r="96" spans="1:4">
      <c r="A96">
        <v>4</v>
      </c>
      <c r="B96" t="s">
        <v>57</v>
      </c>
      <c r="C96" s="2">
        <v>143</v>
      </c>
      <c r="D96" s="8">
        <v>1.42863279841192E-5</v>
      </c>
    </row>
    <row r="97" spans="1:4">
      <c r="A97">
        <v>4</v>
      </c>
      <c r="B97" t="s">
        <v>60</v>
      </c>
      <c r="C97" s="2">
        <v>108</v>
      </c>
      <c r="D97" s="8">
        <v>1.0789674281712399E-5</v>
      </c>
    </row>
    <row r="98" spans="1:4">
      <c r="A98">
        <v>4</v>
      </c>
      <c r="B98" t="s">
        <v>52</v>
      </c>
      <c r="C98" s="2">
        <v>19</v>
      </c>
      <c r="D98" s="8">
        <v>1.8981834384494001E-6</v>
      </c>
    </row>
    <row r="99" spans="1:4">
      <c r="A99">
        <v>4</v>
      </c>
      <c r="B99" t="s">
        <v>41</v>
      </c>
      <c r="C99" s="2">
        <v>4</v>
      </c>
      <c r="D99" s="8">
        <v>3.9961756598934802E-7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2026-09-15T23:03:42Z</dcterms:created>
  <dcterms:modified xsi:type="dcterms:W3CDTF">2026-09-16T06:46:04Z</dcterms:modified>
  <cp:category/>
  <cp:contentStatus/>
</cp:coreProperties>
</file>